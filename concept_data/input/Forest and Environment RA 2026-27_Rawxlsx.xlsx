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filterPrivacy="1"/>
  <xr:revisionPtr revIDLastSave="0" documentId="13_ncr:1_{B62BDF16-D985-6548-B635-98556329303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A 2026-27" sheetId="1" r:id="rId1"/>
    <sheet name="Formula " sheetId="2" r:id="rId2"/>
  </sheets>
  <definedNames>
    <definedName name="_xlnm._FilterDatabase" localSheetId="0" hidden="1">'RA 2026-27'!$A$1:$AQ$635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P3" i="1" s="1"/>
  <c r="AH4" i="1"/>
  <c r="AP4" i="1" s="1"/>
  <c r="AH5" i="1"/>
  <c r="AP5" i="1" s="1"/>
  <c r="AH6" i="1"/>
  <c r="AP6" i="1" s="1"/>
  <c r="AH7" i="1"/>
  <c r="AP7" i="1" s="1"/>
  <c r="AH8" i="1"/>
  <c r="AP8" i="1" s="1"/>
  <c r="AH9" i="1"/>
  <c r="AP9" i="1" s="1"/>
  <c r="AH10" i="1"/>
  <c r="AP10" i="1" s="1"/>
  <c r="AH11" i="1"/>
  <c r="AP11" i="1" s="1"/>
  <c r="AH12" i="1"/>
  <c r="AP12" i="1" s="1"/>
  <c r="AH13" i="1"/>
  <c r="AP13" i="1" s="1"/>
  <c r="AH14" i="1"/>
  <c r="AP14" i="1" s="1"/>
  <c r="AH15" i="1"/>
  <c r="AP15" i="1" s="1"/>
  <c r="AH16" i="1"/>
  <c r="AP16" i="1" s="1"/>
  <c r="AH17" i="1"/>
  <c r="AP17" i="1" s="1"/>
  <c r="AH18" i="1"/>
  <c r="AP18" i="1" s="1"/>
  <c r="AH19" i="1"/>
  <c r="AP19" i="1" s="1"/>
  <c r="AH20" i="1"/>
  <c r="AP20" i="1" s="1"/>
  <c r="AH21" i="1"/>
  <c r="AP21" i="1" s="1"/>
  <c r="AH22" i="1"/>
  <c r="AP22" i="1" s="1"/>
  <c r="AH23" i="1"/>
  <c r="AP23" i="1" s="1"/>
  <c r="AH24" i="1"/>
  <c r="AP24" i="1" s="1"/>
  <c r="AH25" i="1"/>
  <c r="AP25" i="1" s="1"/>
  <c r="AH26" i="1"/>
  <c r="AP26" i="1" s="1"/>
  <c r="AH27" i="1"/>
  <c r="AP27" i="1" s="1"/>
  <c r="AH28" i="1"/>
  <c r="AP28" i="1" s="1"/>
  <c r="AH29" i="1"/>
  <c r="AP29" i="1" s="1"/>
  <c r="AH30" i="1"/>
  <c r="AP30" i="1" s="1"/>
  <c r="AH31" i="1"/>
  <c r="AP31" i="1" s="1"/>
  <c r="AH32" i="1"/>
  <c r="AP32" i="1" s="1"/>
  <c r="AH33" i="1"/>
  <c r="AP33" i="1" s="1"/>
  <c r="AH34" i="1"/>
  <c r="AP34" i="1" s="1"/>
  <c r="AH35" i="1"/>
  <c r="AP35" i="1" s="1"/>
  <c r="AH36" i="1"/>
  <c r="AP36" i="1" s="1"/>
  <c r="AH37" i="1"/>
  <c r="AP37" i="1" s="1"/>
  <c r="AH38" i="1"/>
  <c r="AP38" i="1" s="1"/>
  <c r="AH39" i="1"/>
  <c r="AP39" i="1" s="1"/>
  <c r="AH40" i="1"/>
  <c r="AP40" i="1" s="1"/>
  <c r="AH41" i="1"/>
  <c r="AP41" i="1" s="1"/>
  <c r="AH42" i="1"/>
  <c r="AP42" i="1" s="1"/>
  <c r="AH43" i="1"/>
  <c r="AP43" i="1" s="1"/>
  <c r="AH44" i="1"/>
  <c r="AP44" i="1" s="1"/>
  <c r="AH45" i="1"/>
  <c r="AP45" i="1" s="1"/>
  <c r="AH46" i="1"/>
  <c r="AP46" i="1" s="1"/>
  <c r="AH47" i="1"/>
  <c r="AP47" i="1" s="1"/>
  <c r="AH48" i="1"/>
  <c r="AP48" i="1" s="1"/>
  <c r="AH49" i="1"/>
  <c r="AP49" i="1" s="1"/>
  <c r="AH50" i="1"/>
  <c r="AP50" i="1" s="1"/>
  <c r="AH51" i="1"/>
  <c r="AP51" i="1" s="1"/>
  <c r="AH52" i="1"/>
  <c r="AP52" i="1" s="1"/>
  <c r="AH53" i="1"/>
  <c r="AP53" i="1" s="1"/>
  <c r="AH54" i="1"/>
  <c r="AP54" i="1" s="1"/>
  <c r="AH55" i="1"/>
  <c r="AP55" i="1" s="1"/>
  <c r="AH56" i="1"/>
  <c r="AP56" i="1" s="1"/>
  <c r="AH57" i="1"/>
  <c r="AP57" i="1" s="1"/>
  <c r="AH58" i="1"/>
  <c r="AP58" i="1" s="1"/>
  <c r="AH59" i="1"/>
  <c r="AP59" i="1" s="1"/>
  <c r="AH60" i="1"/>
  <c r="AP60" i="1" s="1"/>
  <c r="AH61" i="1"/>
  <c r="AP61" i="1" s="1"/>
  <c r="AH62" i="1"/>
  <c r="AP62" i="1" s="1"/>
  <c r="AH63" i="1"/>
  <c r="AP63" i="1" s="1"/>
  <c r="AH64" i="1"/>
  <c r="AP64" i="1" s="1"/>
  <c r="AH65" i="1"/>
  <c r="AP65" i="1" s="1"/>
  <c r="AH66" i="1"/>
  <c r="AP66" i="1" s="1"/>
  <c r="AH67" i="1"/>
  <c r="AP67" i="1" s="1"/>
  <c r="AH68" i="1"/>
  <c r="AP68" i="1" s="1"/>
  <c r="AH69" i="1"/>
  <c r="AP69" i="1" s="1"/>
  <c r="AH70" i="1"/>
  <c r="AP70" i="1" s="1"/>
  <c r="AH71" i="1"/>
  <c r="AP71" i="1" s="1"/>
  <c r="AH72" i="1"/>
  <c r="AP72" i="1" s="1"/>
  <c r="AH73" i="1"/>
  <c r="AP73" i="1" s="1"/>
  <c r="AH74" i="1"/>
  <c r="AP74" i="1" s="1"/>
  <c r="AH75" i="1"/>
  <c r="AP75" i="1" s="1"/>
  <c r="AH76" i="1"/>
  <c r="AP76" i="1" s="1"/>
  <c r="AH77" i="1"/>
  <c r="AP77" i="1" s="1"/>
  <c r="AH78" i="1"/>
  <c r="AP78" i="1" s="1"/>
  <c r="AH79" i="1"/>
  <c r="AP79" i="1" s="1"/>
  <c r="AH80" i="1"/>
  <c r="AP80" i="1" s="1"/>
  <c r="AH81" i="1"/>
  <c r="AP81" i="1" s="1"/>
  <c r="AH82" i="1"/>
  <c r="AP82" i="1" s="1"/>
  <c r="AH83" i="1"/>
  <c r="AP83" i="1" s="1"/>
  <c r="AH84" i="1"/>
  <c r="AP84" i="1" s="1"/>
  <c r="AH85" i="1"/>
  <c r="AP85" i="1" s="1"/>
  <c r="AH86" i="1"/>
  <c r="AP86" i="1" s="1"/>
  <c r="AH87" i="1"/>
  <c r="AP87" i="1" s="1"/>
  <c r="AH88" i="1"/>
  <c r="AP88" i="1" s="1"/>
  <c r="AH89" i="1"/>
  <c r="AP89" i="1" s="1"/>
  <c r="AH90" i="1"/>
  <c r="AP90" i="1" s="1"/>
  <c r="AH91" i="1"/>
  <c r="AP91" i="1" s="1"/>
  <c r="AH92" i="1"/>
  <c r="AP92" i="1" s="1"/>
  <c r="AH93" i="1"/>
  <c r="AP93" i="1" s="1"/>
  <c r="AH94" i="1"/>
  <c r="AP94" i="1" s="1"/>
  <c r="AH95" i="1"/>
  <c r="AP95" i="1" s="1"/>
  <c r="AH96" i="1"/>
  <c r="AP96" i="1" s="1"/>
  <c r="AH97" i="1"/>
  <c r="AP97" i="1" s="1"/>
  <c r="AH98" i="1"/>
  <c r="AP98" i="1" s="1"/>
  <c r="AH99" i="1"/>
  <c r="AP99" i="1" s="1"/>
  <c r="AH100" i="1"/>
  <c r="AP100" i="1" s="1"/>
  <c r="AH101" i="1"/>
  <c r="AP101" i="1" s="1"/>
  <c r="AH102" i="1"/>
  <c r="AP102" i="1" s="1"/>
  <c r="AH103" i="1"/>
  <c r="AP103" i="1" s="1"/>
  <c r="AH104" i="1"/>
  <c r="AP104" i="1" s="1"/>
  <c r="AH105" i="1"/>
  <c r="AP105" i="1" s="1"/>
  <c r="AH2" i="1"/>
  <c r="AP2" i="1" s="1"/>
  <c r="AE3" i="1"/>
  <c r="AO3" i="1" s="1"/>
  <c r="AE4" i="1"/>
  <c r="AO4" i="1" s="1"/>
  <c r="AE5" i="1"/>
  <c r="AO5" i="1" s="1"/>
  <c r="AE6" i="1"/>
  <c r="AO6" i="1" s="1"/>
  <c r="AE7" i="1"/>
  <c r="AO7" i="1" s="1"/>
  <c r="AE8" i="1"/>
  <c r="AO8" i="1" s="1"/>
  <c r="AE9" i="1"/>
  <c r="AO9" i="1" s="1"/>
  <c r="AE10" i="1"/>
  <c r="AO10" i="1" s="1"/>
  <c r="AE11" i="1"/>
  <c r="AO11" i="1" s="1"/>
  <c r="AE12" i="1"/>
  <c r="AO12" i="1" s="1"/>
  <c r="AE13" i="1"/>
  <c r="AO13" i="1" s="1"/>
  <c r="AE14" i="1"/>
  <c r="AO14" i="1" s="1"/>
  <c r="AE15" i="1"/>
  <c r="AO15" i="1" s="1"/>
  <c r="AE16" i="1"/>
  <c r="AO16" i="1" s="1"/>
  <c r="AE17" i="1"/>
  <c r="AO17" i="1" s="1"/>
  <c r="AE18" i="1"/>
  <c r="AO18" i="1" s="1"/>
  <c r="AE19" i="1"/>
  <c r="AO19" i="1" s="1"/>
  <c r="AE20" i="1"/>
  <c r="AO20" i="1" s="1"/>
  <c r="AE21" i="1"/>
  <c r="AO21" i="1" s="1"/>
  <c r="AE22" i="1"/>
  <c r="AO22" i="1" s="1"/>
  <c r="AE23" i="1"/>
  <c r="AO23" i="1" s="1"/>
  <c r="AE24" i="1"/>
  <c r="AO24" i="1" s="1"/>
  <c r="AE25" i="1"/>
  <c r="AO25" i="1" s="1"/>
  <c r="AE26" i="1"/>
  <c r="AO26" i="1" s="1"/>
  <c r="AE27" i="1"/>
  <c r="AO27" i="1" s="1"/>
  <c r="AE28" i="1"/>
  <c r="AO28" i="1" s="1"/>
  <c r="AE29" i="1"/>
  <c r="AO29" i="1" s="1"/>
  <c r="AE30" i="1"/>
  <c r="AO30" i="1" s="1"/>
  <c r="AE31" i="1"/>
  <c r="AO31" i="1" s="1"/>
  <c r="AE32" i="1"/>
  <c r="AO32" i="1" s="1"/>
  <c r="AE33" i="1"/>
  <c r="AO33" i="1" s="1"/>
  <c r="AE34" i="1"/>
  <c r="AO34" i="1" s="1"/>
  <c r="AE35" i="1"/>
  <c r="AO35" i="1" s="1"/>
  <c r="AE36" i="1"/>
  <c r="AO36" i="1" s="1"/>
  <c r="AE37" i="1"/>
  <c r="AO37" i="1" s="1"/>
  <c r="AE38" i="1"/>
  <c r="AO38" i="1" s="1"/>
  <c r="AE39" i="1"/>
  <c r="AO39" i="1" s="1"/>
  <c r="AE40" i="1"/>
  <c r="AO40" i="1" s="1"/>
  <c r="AE41" i="1"/>
  <c r="AO41" i="1" s="1"/>
  <c r="AE42" i="1"/>
  <c r="AO42" i="1" s="1"/>
  <c r="AE43" i="1"/>
  <c r="AO43" i="1" s="1"/>
  <c r="AE44" i="1"/>
  <c r="AO44" i="1" s="1"/>
  <c r="AE45" i="1"/>
  <c r="AO45" i="1" s="1"/>
  <c r="AE46" i="1"/>
  <c r="AO46" i="1" s="1"/>
  <c r="AE47" i="1"/>
  <c r="AO47" i="1" s="1"/>
  <c r="AE48" i="1"/>
  <c r="AO48" i="1" s="1"/>
  <c r="AE49" i="1"/>
  <c r="AO49" i="1" s="1"/>
  <c r="AE50" i="1"/>
  <c r="AO50" i="1" s="1"/>
  <c r="AE51" i="1"/>
  <c r="AO51" i="1" s="1"/>
  <c r="AE52" i="1"/>
  <c r="AO52" i="1" s="1"/>
  <c r="AE53" i="1"/>
  <c r="AO53" i="1" s="1"/>
  <c r="AE54" i="1"/>
  <c r="AO54" i="1" s="1"/>
  <c r="AE55" i="1"/>
  <c r="AO55" i="1" s="1"/>
  <c r="AE56" i="1"/>
  <c r="AO56" i="1" s="1"/>
  <c r="AE57" i="1"/>
  <c r="AO57" i="1" s="1"/>
  <c r="AE58" i="1"/>
  <c r="AO58" i="1" s="1"/>
  <c r="AE59" i="1"/>
  <c r="AO59" i="1" s="1"/>
  <c r="AE60" i="1"/>
  <c r="AO60" i="1" s="1"/>
  <c r="AE61" i="1"/>
  <c r="AO61" i="1" s="1"/>
  <c r="AE62" i="1"/>
  <c r="AO62" i="1" s="1"/>
  <c r="AE63" i="1"/>
  <c r="AO63" i="1" s="1"/>
  <c r="AE64" i="1"/>
  <c r="AO64" i="1" s="1"/>
  <c r="AE65" i="1"/>
  <c r="AO65" i="1" s="1"/>
  <c r="AE66" i="1"/>
  <c r="AO66" i="1" s="1"/>
  <c r="AE67" i="1"/>
  <c r="AO67" i="1" s="1"/>
  <c r="AE68" i="1"/>
  <c r="AO68" i="1" s="1"/>
  <c r="AE69" i="1"/>
  <c r="AO69" i="1" s="1"/>
  <c r="AE70" i="1"/>
  <c r="AO70" i="1" s="1"/>
  <c r="AE71" i="1"/>
  <c r="AO71" i="1" s="1"/>
  <c r="AE72" i="1"/>
  <c r="AO72" i="1" s="1"/>
  <c r="AE73" i="1"/>
  <c r="AO73" i="1" s="1"/>
  <c r="AE74" i="1"/>
  <c r="AO74" i="1" s="1"/>
  <c r="AE75" i="1"/>
  <c r="AO75" i="1" s="1"/>
  <c r="AE76" i="1"/>
  <c r="AO76" i="1" s="1"/>
  <c r="AE77" i="1"/>
  <c r="AO77" i="1" s="1"/>
  <c r="AE78" i="1"/>
  <c r="AO78" i="1" s="1"/>
  <c r="AE79" i="1"/>
  <c r="AO79" i="1" s="1"/>
  <c r="AE80" i="1"/>
  <c r="AO80" i="1" s="1"/>
  <c r="AE81" i="1"/>
  <c r="AO81" i="1" s="1"/>
  <c r="AE82" i="1"/>
  <c r="AO82" i="1" s="1"/>
  <c r="AE83" i="1"/>
  <c r="AO83" i="1" s="1"/>
  <c r="AE84" i="1"/>
  <c r="AO84" i="1" s="1"/>
  <c r="AE85" i="1"/>
  <c r="AO85" i="1" s="1"/>
  <c r="AE86" i="1"/>
  <c r="AO86" i="1" s="1"/>
  <c r="AE87" i="1"/>
  <c r="AO87" i="1" s="1"/>
  <c r="AE88" i="1"/>
  <c r="AO88" i="1" s="1"/>
  <c r="AE89" i="1"/>
  <c r="AO89" i="1" s="1"/>
  <c r="AE90" i="1"/>
  <c r="AO90" i="1" s="1"/>
  <c r="AE91" i="1"/>
  <c r="AO91" i="1" s="1"/>
  <c r="AE92" i="1"/>
  <c r="AO92" i="1" s="1"/>
  <c r="AE93" i="1"/>
  <c r="AO93" i="1" s="1"/>
  <c r="AE94" i="1"/>
  <c r="AO94" i="1" s="1"/>
  <c r="AE95" i="1"/>
  <c r="AO95" i="1" s="1"/>
  <c r="AE96" i="1"/>
  <c r="AO96" i="1" s="1"/>
  <c r="AE97" i="1"/>
  <c r="AO97" i="1" s="1"/>
  <c r="AE98" i="1"/>
  <c r="AO98" i="1" s="1"/>
  <c r="AE99" i="1"/>
  <c r="AO99" i="1" s="1"/>
  <c r="AE100" i="1"/>
  <c r="AO100" i="1" s="1"/>
  <c r="AE101" i="1"/>
  <c r="AO101" i="1" s="1"/>
  <c r="AE102" i="1"/>
  <c r="AO102" i="1" s="1"/>
  <c r="AE103" i="1"/>
  <c r="AO103" i="1" s="1"/>
  <c r="AE104" i="1"/>
  <c r="AO104" i="1" s="1"/>
  <c r="AE105" i="1"/>
  <c r="AO105" i="1" s="1"/>
  <c r="AE2" i="1"/>
  <c r="AO2" i="1" s="1"/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2" i="1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B106" i="1" l="1"/>
  <c r="AN106" i="1" s="1"/>
  <c r="AB107" i="1"/>
  <c r="AN107" i="1" s="1"/>
  <c r="AB108" i="1"/>
  <c r="AN108" i="1" s="1"/>
  <c r="AB109" i="1"/>
  <c r="AN109" i="1" s="1"/>
  <c r="AB110" i="1"/>
  <c r="AN110" i="1" s="1"/>
  <c r="AB111" i="1"/>
  <c r="AN111" i="1" s="1"/>
  <c r="AB112" i="1"/>
  <c r="AN112" i="1" s="1"/>
  <c r="AB113" i="1"/>
  <c r="AN113" i="1" s="1"/>
  <c r="AB114" i="1"/>
  <c r="AN114" i="1" s="1"/>
  <c r="AB115" i="1"/>
  <c r="AN115" i="1" s="1"/>
  <c r="AB116" i="1"/>
  <c r="AN116" i="1" s="1"/>
  <c r="AB117" i="1"/>
  <c r="AN117" i="1" s="1"/>
  <c r="AB118" i="1"/>
  <c r="AN118" i="1" s="1"/>
  <c r="AB119" i="1"/>
  <c r="AN119" i="1" s="1"/>
  <c r="AB120" i="1"/>
  <c r="AN120" i="1" s="1"/>
  <c r="AB121" i="1"/>
  <c r="AN121" i="1" s="1"/>
  <c r="AB122" i="1"/>
  <c r="AN122" i="1" s="1"/>
  <c r="AB123" i="1"/>
  <c r="AN123" i="1" s="1"/>
  <c r="AB124" i="1"/>
  <c r="AN124" i="1" s="1"/>
  <c r="AB125" i="1"/>
  <c r="AN125" i="1" s="1"/>
  <c r="AB126" i="1"/>
  <c r="AN126" i="1" s="1"/>
  <c r="AB127" i="1"/>
  <c r="AN127" i="1" s="1"/>
  <c r="AB128" i="1"/>
  <c r="AN128" i="1" s="1"/>
  <c r="AB129" i="1"/>
  <c r="AN129" i="1" s="1"/>
  <c r="AB130" i="1"/>
  <c r="AN130" i="1" s="1"/>
  <c r="AB131" i="1"/>
  <c r="AN131" i="1" s="1"/>
  <c r="AB132" i="1"/>
  <c r="AN132" i="1" s="1"/>
  <c r="AB133" i="1"/>
  <c r="AN133" i="1" s="1"/>
  <c r="AB134" i="1"/>
  <c r="AN134" i="1" s="1"/>
  <c r="AB135" i="1"/>
  <c r="AN135" i="1" s="1"/>
  <c r="AB136" i="1"/>
  <c r="AN136" i="1" s="1"/>
  <c r="AB137" i="1"/>
  <c r="AN137" i="1" s="1"/>
  <c r="AB138" i="1"/>
  <c r="AN138" i="1" s="1"/>
  <c r="AB139" i="1"/>
  <c r="AN139" i="1" s="1"/>
  <c r="AB140" i="1"/>
  <c r="AN140" i="1" s="1"/>
  <c r="AB141" i="1"/>
  <c r="AN141" i="1" s="1"/>
  <c r="AB142" i="1"/>
  <c r="AN142" i="1" s="1"/>
  <c r="AB143" i="1"/>
  <c r="AN143" i="1" s="1"/>
  <c r="AB144" i="1"/>
  <c r="AN144" i="1" s="1"/>
  <c r="AB145" i="1"/>
  <c r="AN145" i="1" s="1"/>
  <c r="AB146" i="1"/>
  <c r="AN146" i="1" s="1"/>
  <c r="AB147" i="1"/>
  <c r="AN147" i="1" s="1"/>
  <c r="AB148" i="1"/>
  <c r="AN148" i="1" s="1"/>
  <c r="AB149" i="1"/>
  <c r="AN149" i="1" s="1"/>
  <c r="AB150" i="1"/>
  <c r="AN150" i="1" s="1"/>
  <c r="AB151" i="1"/>
  <c r="AN151" i="1" s="1"/>
  <c r="AB152" i="1"/>
  <c r="AN152" i="1" s="1"/>
  <c r="AB153" i="1"/>
  <c r="AN153" i="1" s="1"/>
  <c r="AB154" i="1"/>
  <c r="AN154" i="1" s="1"/>
  <c r="AB155" i="1"/>
  <c r="AN155" i="1" s="1"/>
  <c r="AB156" i="1"/>
  <c r="AN156" i="1" s="1"/>
  <c r="AB157" i="1"/>
  <c r="AN157" i="1" s="1"/>
  <c r="AB158" i="1"/>
  <c r="AN158" i="1" s="1"/>
  <c r="AB159" i="1"/>
  <c r="AN159" i="1" s="1"/>
  <c r="AB160" i="1"/>
  <c r="AN160" i="1" s="1"/>
  <c r="AB161" i="1"/>
  <c r="AN161" i="1" s="1"/>
  <c r="AB162" i="1"/>
  <c r="AN162" i="1" s="1"/>
  <c r="AB163" i="1"/>
  <c r="AN163" i="1" s="1"/>
  <c r="AB164" i="1"/>
  <c r="AN164" i="1" s="1"/>
  <c r="AB165" i="1"/>
  <c r="AN165" i="1" s="1"/>
  <c r="AB166" i="1"/>
  <c r="AN166" i="1" s="1"/>
  <c r="AB167" i="1"/>
  <c r="AN167" i="1" s="1"/>
  <c r="AB168" i="1"/>
  <c r="AN168" i="1" s="1"/>
  <c r="AB169" i="1"/>
  <c r="AN169" i="1" s="1"/>
  <c r="AB170" i="1"/>
  <c r="AN170" i="1" s="1"/>
  <c r="AB171" i="1"/>
  <c r="AN171" i="1" s="1"/>
  <c r="AB172" i="1"/>
  <c r="AN172" i="1" s="1"/>
  <c r="AB173" i="1"/>
  <c r="AN173" i="1" s="1"/>
  <c r="AB174" i="1"/>
  <c r="AN174" i="1" s="1"/>
  <c r="AB175" i="1"/>
  <c r="AN175" i="1" s="1"/>
  <c r="AB176" i="1"/>
  <c r="AN176" i="1" s="1"/>
  <c r="AB177" i="1"/>
  <c r="AN177" i="1" s="1"/>
  <c r="AB178" i="1"/>
  <c r="AN178" i="1" s="1"/>
  <c r="AB179" i="1"/>
  <c r="AN179" i="1" s="1"/>
  <c r="AB180" i="1"/>
  <c r="AN180" i="1" s="1"/>
  <c r="AB181" i="1"/>
  <c r="AN181" i="1" s="1"/>
  <c r="AB182" i="1"/>
  <c r="AN182" i="1" s="1"/>
  <c r="AB183" i="1"/>
  <c r="AN183" i="1" s="1"/>
  <c r="AB184" i="1"/>
  <c r="AN184" i="1" s="1"/>
  <c r="AB185" i="1"/>
  <c r="AN185" i="1" s="1"/>
  <c r="AB186" i="1"/>
  <c r="AN186" i="1" s="1"/>
  <c r="AB187" i="1"/>
  <c r="AN187" i="1" s="1"/>
  <c r="AB188" i="1"/>
  <c r="AN188" i="1" s="1"/>
  <c r="AB189" i="1"/>
  <c r="AN189" i="1" s="1"/>
  <c r="AB190" i="1"/>
  <c r="AN190" i="1" s="1"/>
  <c r="AB191" i="1"/>
  <c r="AN191" i="1" s="1"/>
  <c r="AB192" i="1"/>
  <c r="AN192" i="1" s="1"/>
  <c r="AB193" i="1"/>
  <c r="AN193" i="1" s="1"/>
  <c r="AB194" i="1"/>
  <c r="AN194" i="1" s="1"/>
  <c r="AB195" i="1"/>
  <c r="AN195" i="1" s="1"/>
  <c r="AB196" i="1"/>
  <c r="AN196" i="1" s="1"/>
  <c r="AB197" i="1"/>
  <c r="AN197" i="1" s="1"/>
  <c r="AB198" i="1"/>
  <c r="AN198" i="1" s="1"/>
  <c r="AB199" i="1"/>
  <c r="AN199" i="1" s="1"/>
  <c r="AB200" i="1"/>
  <c r="AN200" i="1" s="1"/>
  <c r="AB201" i="1"/>
  <c r="AN201" i="1" s="1"/>
  <c r="AB202" i="1"/>
  <c r="AN202" i="1" s="1"/>
  <c r="AB203" i="1"/>
  <c r="AN203" i="1" s="1"/>
  <c r="AB204" i="1"/>
  <c r="AN204" i="1" s="1"/>
  <c r="AB205" i="1"/>
  <c r="AN205" i="1" s="1"/>
  <c r="AB206" i="1"/>
  <c r="AN206" i="1" s="1"/>
  <c r="AB207" i="1"/>
  <c r="AN207" i="1" s="1"/>
  <c r="AB208" i="1"/>
  <c r="AN208" i="1" s="1"/>
  <c r="AB209" i="1"/>
  <c r="AN209" i="1" s="1"/>
  <c r="AB210" i="1"/>
  <c r="AN210" i="1" s="1"/>
  <c r="AB211" i="1"/>
  <c r="AN211" i="1" s="1"/>
  <c r="AB212" i="1"/>
  <c r="AN212" i="1" s="1"/>
  <c r="AB213" i="1"/>
  <c r="AN213" i="1" s="1"/>
  <c r="AB214" i="1"/>
  <c r="AN214" i="1" s="1"/>
  <c r="AB215" i="1"/>
  <c r="AN215" i="1" s="1"/>
  <c r="AB216" i="1"/>
  <c r="AN216" i="1" s="1"/>
  <c r="AB217" i="1"/>
  <c r="AN217" i="1" s="1"/>
  <c r="AB218" i="1"/>
  <c r="AN218" i="1" s="1"/>
  <c r="AB219" i="1"/>
  <c r="AN219" i="1" s="1"/>
  <c r="AB220" i="1"/>
  <c r="AN220" i="1" s="1"/>
  <c r="AB221" i="1"/>
  <c r="AN221" i="1" s="1"/>
  <c r="AB222" i="1"/>
  <c r="AN222" i="1" s="1"/>
  <c r="AB223" i="1"/>
  <c r="AN223" i="1" s="1"/>
  <c r="AB224" i="1"/>
  <c r="AN224" i="1" s="1"/>
  <c r="AB225" i="1"/>
  <c r="AN225" i="1" s="1"/>
  <c r="AB226" i="1"/>
  <c r="AN226" i="1" s="1"/>
  <c r="AB227" i="1"/>
  <c r="AN227" i="1" s="1"/>
  <c r="AB228" i="1"/>
  <c r="AN228" i="1" s="1"/>
  <c r="AB229" i="1"/>
  <c r="AN229" i="1" s="1"/>
  <c r="AB230" i="1"/>
  <c r="AN230" i="1" s="1"/>
  <c r="AB231" i="1"/>
  <c r="AN231" i="1" s="1"/>
  <c r="AB232" i="1"/>
  <c r="AN232" i="1" s="1"/>
  <c r="AB233" i="1"/>
  <c r="AN233" i="1" s="1"/>
  <c r="AB234" i="1"/>
  <c r="AN234" i="1" s="1"/>
  <c r="AB235" i="1"/>
  <c r="AN235" i="1" s="1"/>
  <c r="AB236" i="1"/>
  <c r="AN236" i="1" s="1"/>
  <c r="AB237" i="1"/>
  <c r="AN237" i="1" s="1"/>
  <c r="AB238" i="1"/>
  <c r="AN238" i="1" s="1"/>
  <c r="AB239" i="1"/>
  <c r="AN239" i="1" s="1"/>
  <c r="AB240" i="1"/>
  <c r="AN240" i="1" s="1"/>
  <c r="AB241" i="1"/>
  <c r="AN241" i="1" s="1"/>
  <c r="AB242" i="1"/>
  <c r="AN242" i="1" s="1"/>
  <c r="AB243" i="1"/>
  <c r="AN243" i="1" s="1"/>
  <c r="AB244" i="1"/>
  <c r="AN244" i="1" s="1"/>
  <c r="AB245" i="1"/>
  <c r="AN245" i="1" s="1"/>
  <c r="AB246" i="1"/>
  <c r="AN246" i="1" s="1"/>
  <c r="AB247" i="1"/>
  <c r="AN247" i="1" s="1"/>
  <c r="AB248" i="1"/>
  <c r="AN248" i="1" s="1"/>
  <c r="AB249" i="1"/>
  <c r="AN249" i="1" s="1"/>
  <c r="AB250" i="1"/>
  <c r="AN250" i="1" s="1"/>
  <c r="AB251" i="1"/>
  <c r="AN251" i="1" s="1"/>
  <c r="AB252" i="1"/>
  <c r="AN252" i="1" s="1"/>
  <c r="AB253" i="1"/>
  <c r="AN253" i="1" s="1"/>
  <c r="AB254" i="1"/>
  <c r="AN254" i="1" s="1"/>
  <c r="AB255" i="1"/>
  <c r="AN255" i="1" s="1"/>
  <c r="AB256" i="1"/>
  <c r="AN256" i="1" s="1"/>
  <c r="AB257" i="1"/>
  <c r="AN257" i="1" s="1"/>
  <c r="AB258" i="1"/>
  <c r="AN258" i="1" s="1"/>
  <c r="AB259" i="1"/>
  <c r="AN259" i="1" s="1"/>
  <c r="AB260" i="1"/>
  <c r="AN260" i="1" s="1"/>
  <c r="AB261" i="1"/>
  <c r="AN261" i="1" s="1"/>
  <c r="AB262" i="1"/>
  <c r="AN262" i="1" s="1"/>
  <c r="AB263" i="1"/>
  <c r="AN263" i="1" s="1"/>
  <c r="AB264" i="1"/>
  <c r="AN264" i="1" s="1"/>
  <c r="AB265" i="1"/>
  <c r="AN265" i="1" s="1"/>
  <c r="AB266" i="1"/>
  <c r="AN266" i="1" s="1"/>
  <c r="AB267" i="1"/>
  <c r="AN267" i="1" s="1"/>
  <c r="AB268" i="1"/>
  <c r="AN268" i="1" s="1"/>
  <c r="AB269" i="1"/>
  <c r="AN269" i="1" s="1"/>
  <c r="AB270" i="1"/>
  <c r="AN270" i="1" s="1"/>
  <c r="AB271" i="1"/>
  <c r="AN271" i="1" s="1"/>
  <c r="AB272" i="1"/>
  <c r="AN272" i="1" s="1"/>
  <c r="AB273" i="1"/>
  <c r="AN273" i="1" s="1"/>
  <c r="AB274" i="1"/>
  <c r="AN274" i="1" s="1"/>
  <c r="AB275" i="1"/>
  <c r="AN275" i="1" s="1"/>
  <c r="AB276" i="1"/>
  <c r="AN276" i="1" s="1"/>
  <c r="AB277" i="1"/>
  <c r="AN277" i="1" s="1"/>
  <c r="AB278" i="1"/>
  <c r="AN278" i="1" s="1"/>
  <c r="AB279" i="1"/>
  <c r="AN279" i="1" s="1"/>
  <c r="AB280" i="1"/>
  <c r="AN280" i="1" s="1"/>
  <c r="AB281" i="1"/>
  <c r="AN281" i="1" s="1"/>
  <c r="AB282" i="1"/>
  <c r="AN282" i="1" s="1"/>
  <c r="AB283" i="1"/>
  <c r="AN283" i="1" s="1"/>
  <c r="AB284" i="1"/>
  <c r="AN284" i="1" s="1"/>
  <c r="AB285" i="1"/>
  <c r="AN285" i="1" s="1"/>
  <c r="AB286" i="1"/>
  <c r="AN286" i="1" s="1"/>
  <c r="AB287" i="1"/>
  <c r="AN287" i="1" s="1"/>
  <c r="AB288" i="1"/>
  <c r="AN288" i="1" s="1"/>
  <c r="AB289" i="1"/>
  <c r="AN289" i="1" s="1"/>
  <c r="AB290" i="1"/>
  <c r="AN290" i="1" s="1"/>
  <c r="AB291" i="1"/>
  <c r="AN291" i="1" s="1"/>
  <c r="AB292" i="1"/>
  <c r="AN292" i="1" s="1"/>
  <c r="AB293" i="1"/>
  <c r="AN293" i="1" s="1"/>
  <c r="AB294" i="1"/>
  <c r="AN294" i="1" s="1"/>
  <c r="AB295" i="1"/>
  <c r="AN295" i="1" s="1"/>
  <c r="AB296" i="1"/>
  <c r="AN296" i="1" s="1"/>
  <c r="AB297" i="1"/>
  <c r="AN297" i="1" s="1"/>
  <c r="AB298" i="1"/>
  <c r="AN298" i="1" s="1"/>
  <c r="AB299" i="1"/>
  <c r="AN299" i="1" s="1"/>
  <c r="AB300" i="1"/>
  <c r="AN300" i="1" s="1"/>
  <c r="AB301" i="1"/>
  <c r="AN301" i="1" s="1"/>
  <c r="AB302" i="1"/>
  <c r="AN302" i="1" s="1"/>
  <c r="AB303" i="1"/>
  <c r="AN303" i="1" s="1"/>
  <c r="AB304" i="1"/>
  <c r="AN304" i="1" s="1"/>
  <c r="AB305" i="1"/>
  <c r="AN305" i="1" s="1"/>
  <c r="AB306" i="1"/>
  <c r="AN306" i="1" s="1"/>
  <c r="AB307" i="1"/>
  <c r="AN307" i="1" s="1"/>
  <c r="AB308" i="1"/>
  <c r="AN308" i="1" s="1"/>
  <c r="AB309" i="1"/>
  <c r="AN309" i="1" s="1"/>
  <c r="AB310" i="1"/>
  <c r="AN310" i="1" s="1"/>
  <c r="AB311" i="1"/>
  <c r="AN311" i="1" s="1"/>
  <c r="AB312" i="1"/>
  <c r="AN312" i="1" s="1"/>
  <c r="AB313" i="1"/>
  <c r="AN313" i="1" s="1"/>
  <c r="AB314" i="1"/>
  <c r="AN314" i="1" s="1"/>
  <c r="AB315" i="1"/>
  <c r="AN315" i="1" s="1"/>
  <c r="AB316" i="1"/>
  <c r="AN316" i="1" s="1"/>
  <c r="AB317" i="1"/>
  <c r="AN317" i="1" s="1"/>
  <c r="AB318" i="1"/>
  <c r="AN318" i="1" s="1"/>
  <c r="AB319" i="1"/>
  <c r="AN319" i="1" s="1"/>
  <c r="AB320" i="1"/>
  <c r="AN320" i="1" s="1"/>
  <c r="AB321" i="1"/>
  <c r="AN321" i="1" s="1"/>
  <c r="AB322" i="1"/>
  <c r="AN322" i="1" s="1"/>
  <c r="AB323" i="1"/>
  <c r="AN323" i="1" s="1"/>
  <c r="AB324" i="1"/>
  <c r="AN324" i="1" s="1"/>
  <c r="AB325" i="1"/>
  <c r="AN325" i="1" s="1"/>
  <c r="AB326" i="1"/>
  <c r="AN326" i="1" s="1"/>
  <c r="AB327" i="1"/>
  <c r="AN327" i="1" s="1"/>
  <c r="AB328" i="1"/>
  <c r="AN328" i="1" s="1"/>
  <c r="AB329" i="1"/>
  <c r="AN329" i="1" s="1"/>
  <c r="AB330" i="1"/>
  <c r="AN330" i="1" s="1"/>
  <c r="AB331" i="1"/>
  <c r="AN331" i="1" s="1"/>
  <c r="AB332" i="1"/>
  <c r="AN332" i="1" s="1"/>
  <c r="AB333" i="1"/>
  <c r="AN333" i="1" s="1"/>
  <c r="AB334" i="1"/>
  <c r="AN334" i="1" s="1"/>
  <c r="AB335" i="1"/>
  <c r="AN335" i="1" s="1"/>
  <c r="AB336" i="1"/>
  <c r="AN336" i="1" s="1"/>
  <c r="AB337" i="1"/>
  <c r="AN337" i="1" s="1"/>
  <c r="AB338" i="1"/>
  <c r="AN338" i="1" s="1"/>
  <c r="AB339" i="1"/>
  <c r="AN339" i="1" s="1"/>
  <c r="AB340" i="1"/>
  <c r="AN340" i="1" s="1"/>
  <c r="AB341" i="1"/>
  <c r="AN341" i="1" s="1"/>
  <c r="AB342" i="1"/>
  <c r="AN342" i="1" s="1"/>
  <c r="AB343" i="1"/>
  <c r="AN343" i="1" s="1"/>
  <c r="AB344" i="1"/>
  <c r="AN344" i="1" s="1"/>
  <c r="AB345" i="1"/>
  <c r="AN345" i="1" s="1"/>
  <c r="AB346" i="1"/>
  <c r="AN346" i="1" s="1"/>
  <c r="AB347" i="1"/>
  <c r="AN347" i="1" s="1"/>
  <c r="AB348" i="1"/>
  <c r="AN348" i="1" s="1"/>
  <c r="AB349" i="1"/>
  <c r="AN349" i="1" s="1"/>
  <c r="AB350" i="1"/>
  <c r="AN350" i="1" s="1"/>
  <c r="AB351" i="1"/>
  <c r="AN351" i="1" s="1"/>
  <c r="AB352" i="1"/>
  <c r="AN352" i="1" s="1"/>
  <c r="AB353" i="1"/>
  <c r="AN353" i="1" s="1"/>
  <c r="AB354" i="1"/>
  <c r="AN354" i="1" s="1"/>
  <c r="AB355" i="1"/>
  <c r="AN355" i="1" s="1"/>
  <c r="AB356" i="1"/>
  <c r="AN356" i="1" s="1"/>
  <c r="AB357" i="1"/>
  <c r="AN357" i="1" s="1"/>
  <c r="AB358" i="1"/>
  <c r="AN358" i="1" s="1"/>
  <c r="AB359" i="1"/>
  <c r="AN359" i="1" s="1"/>
  <c r="AB360" i="1"/>
  <c r="AN360" i="1" s="1"/>
  <c r="AB361" i="1"/>
  <c r="AN361" i="1" s="1"/>
  <c r="AB362" i="1"/>
  <c r="AN362" i="1" s="1"/>
  <c r="AB363" i="1"/>
  <c r="AN363" i="1" s="1"/>
  <c r="AB364" i="1"/>
  <c r="AN364" i="1" s="1"/>
  <c r="AB365" i="1"/>
  <c r="AN365" i="1" s="1"/>
  <c r="AB366" i="1"/>
  <c r="AN366" i="1" s="1"/>
  <c r="AB367" i="1"/>
  <c r="AN367" i="1" s="1"/>
  <c r="AB368" i="1"/>
  <c r="AN368" i="1" s="1"/>
  <c r="AB369" i="1"/>
  <c r="AN369" i="1" s="1"/>
  <c r="AB370" i="1"/>
  <c r="AN370" i="1" s="1"/>
  <c r="AB371" i="1"/>
  <c r="AN371" i="1" s="1"/>
  <c r="AB372" i="1"/>
  <c r="AN372" i="1" s="1"/>
  <c r="AB373" i="1"/>
  <c r="AN373" i="1" s="1"/>
  <c r="AB374" i="1"/>
  <c r="AN374" i="1" s="1"/>
  <c r="AB375" i="1"/>
  <c r="AN375" i="1" s="1"/>
  <c r="AB376" i="1"/>
  <c r="AN376" i="1" s="1"/>
  <c r="AB377" i="1"/>
  <c r="AN377" i="1" s="1"/>
  <c r="AB378" i="1"/>
  <c r="AN378" i="1" s="1"/>
  <c r="AB379" i="1"/>
  <c r="AN379" i="1" s="1"/>
  <c r="AB380" i="1"/>
  <c r="AN380" i="1" s="1"/>
  <c r="AB381" i="1"/>
  <c r="AN381" i="1" s="1"/>
  <c r="AB382" i="1"/>
  <c r="AN382" i="1" s="1"/>
  <c r="AB383" i="1"/>
  <c r="AN383" i="1" s="1"/>
  <c r="AB384" i="1"/>
  <c r="AN384" i="1" s="1"/>
  <c r="AB385" i="1"/>
  <c r="AN385" i="1" s="1"/>
  <c r="AB386" i="1"/>
  <c r="AN386" i="1" s="1"/>
  <c r="AB387" i="1"/>
  <c r="AN387" i="1" s="1"/>
  <c r="AB388" i="1"/>
  <c r="AN388" i="1" s="1"/>
  <c r="AB389" i="1"/>
  <c r="AN389" i="1" s="1"/>
  <c r="AB390" i="1"/>
  <c r="AN390" i="1" s="1"/>
  <c r="AB391" i="1"/>
  <c r="AN391" i="1" s="1"/>
  <c r="AB392" i="1"/>
  <c r="AN392" i="1" s="1"/>
  <c r="AB393" i="1"/>
  <c r="AN393" i="1" s="1"/>
  <c r="AB394" i="1"/>
  <c r="AN394" i="1" s="1"/>
  <c r="AB395" i="1"/>
  <c r="AN395" i="1" s="1"/>
  <c r="AB396" i="1"/>
  <c r="AN396" i="1" s="1"/>
  <c r="AB397" i="1"/>
  <c r="AN397" i="1" s="1"/>
  <c r="AB398" i="1"/>
  <c r="AN398" i="1" s="1"/>
  <c r="AB399" i="1"/>
  <c r="AN399" i="1" s="1"/>
  <c r="AB400" i="1"/>
  <c r="AN400" i="1" s="1"/>
  <c r="AB401" i="1"/>
  <c r="AN401" i="1" s="1"/>
  <c r="AB402" i="1"/>
  <c r="AN402" i="1" s="1"/>
  <c r="AB403" i="1"/>
  <c r="AN403" i="1" s="1"/>
  <c r="AB404" i="1"/>
  <c r="AN404" i="1" s="1"/>
  <c r="AB405" i="1"/>
  <c r="AN405" i="1" s="1"/>
  <c r="AB406" i="1"/>
  <c r="AN406" i="1" s="1"/>
  <c r="AB407" i="1"/>
  <c r="AN407" i="1" s="1"/>
  <c r="AB408" i="1"/>
  <c r="AN408" i="1" s="1"/>
  <c r="AB409" i="1"/>
  <c r="AN409" i="1" s="1"/>
  <c r="AB410" i="1"/>
  <c r="AN410" i="1" s="1"/>
  <c r="AB411" i="1"/>
  <c r="AN411" i="1" s="1"/>
  <c r="AB412" i="1"/>
  <c r="AN412" i="1" s="1"/>
  <c r="AB413" i="1"/>
  <c r="AN413" i="1" s="1"/>
  <c r="AB414" i="1"/>
  <c r="AN414" i="1" s="1"/>
  <c r="AB415" i="1"/>
  <c r="AN415" i="1" s="1"/>
  <c r="AB416" i="1"/>
  <c r="AN416" i="1" s="1"/>
  <c r="AB417" i="1"/>
  <c r="AN417" i="1" s="1"/>
  <c r="AB418" i="1"/>
  <c r="AN418" i="1" s="1"/>
  <c r="AB419" i="1"/>
  <c r="AN419" i="1" s="1"/>
  <c r="AB420" i="1"/>
  <c r="AN420" i="1" s="1"/>
  <c r="AB421" i="1"/>
  <c r="AN421" i="1" s="1"/>
  <c r="AB422" i="1"/>
  <c r="AN422" i="1" s="1"/>
  <c r="AB423" i="1"/>
  <c r="AN423" i="1" s="1"/>
  <c r="AB424" i="1"/>
  <c r="AN424" i="1" s="1"/>
  <c r="AB425" i="1"/>
  <c r="AN425" i="1" s="1"/>
  <c r="AB426" i="1"/>
  <c r="AN426" i="1" s="1"/>
  <c r="AB427" i="1"/>
  <c r="AN427" i="1" s="1"/>
  <c r="AB428" i="1"/>
  <c r="AN428" i="1" s="1"/>
  <c r="AB429" i="1"/>
  <c r="AN429" i="1" s="1"/>
  <c r="AB430" i="1"/>
  <c r="AN430" i="1" s="1"/>
  <c r="AB431" i="1"/>
  <c r="AN431" i="1" s="1"/>
  <c r="AB432" i="1"/>
  <c r="AN432" i="1" s="1"/>
  <c r="AB433" i="1"/>
  <c r="AN433" i="1" s="1"/>
  <c r="AB434" i="1"/>
  <c r="AN434" i="1" s="1"/>
  <c r="AB435" i="1"/>
  <c r="AN435" i="1" s="1"/>
  <c r="AB436" i="1"/>
  <c r="AN436" i="1" s="1"/>
  <c r="AB437" i="1"/>
  <c r="AN437" i="1" s="1"/>
  <c r="AB438" i="1"/>
  <c r="AN438" i="1" s="1"/>
  <c r="AB439" i="1"/>
  <c r="AN439" i="1" s="1"/>
  <c r="AB440" i="1"/>
  <c r="AN440" i="1" s="1"/>
  <c r="AB441" i="1"/>
  <c r="AN441" i="1" s="1"/>
  <c r="AB442" i="1"/>
  <c r="AN442" i="1" s="1"/>
  <c r="AB443" i="1"/>
  <c r="AN443" i="1" s="1"/>
  <c r="AB444" i="1"/>
  <c r="AN444" i="1" s="1"/>
  <c r="AB445" i="1"/>
  <c r="AN445" i="1" s="1"/>
  <c r="AB446" i="1"/>
  <c r="AN446" i="1" s="1"/>
  <c r="AB447" i="1"/>
  <c r="AN447" i="1" s="1"/>
  <c r="AB448" i="1"/>
  <c r="AN448" i="1" s="1"/>
  <c r="AB449" i="1"/>
  <c r="AN449" i="1" s="1"/>
  <c r="AB450" i="1"/>
  <c r="AN450" i="1" s="1"/>
  <c r="AB451" i="1"/>
  <c r="AN451" i="1" s="1"/>
  <c r="AB452" i="1"/>
  <c r="AN452" i="1" s="1"/>
  <c r="AB453" i="1"/>
  <c r="AN453" i="1" s="1"/>
  <c r="AB454" i="1"/>
  <c r="AN454" i="1" s="1"/>
  <c r="AB455" i="1"/>
  <c r="AN455" i="1" s="1"/>
  <c r="AB456" i="1"/>
  <c r="AN456" i="1" s="1"/>
  <c r="AB457" i="1"/>
  <c r="AN457" i="1" s="1"/>
  <c r="AB458" i="1"/>
  <c r="AN458" i="1" s="1"/>
  <c r="AB459" i="1"/>
  <c r="AN459" i="1" s="1"/>
  <c r="AB460" i="1"/>
  <c r="AN460" i="1" s="1"/>
  <c r="AB461" i="1"/>
  <c r="AN461" i="1" s="1"/>
  <c r="AB462" i="1"/>
  <c r="AN462" i="1" s="1"/>
  <c r="AB463" i="1"/>
  <c r="AN463" i="1" s="1"/>
  <c r="AB464" i="1"/>
  <c r="AN464" i="1" s="1"/>
  <c r="AB465" i="1"/>
  <c r="AN465" i="1" s="1"/>
  <c r="AB466" i="1"/>
  <c r="AN466" i="1" s="1"/>
  <c r="AB467" i="1"/>
  <c r="AN467" i="1" s="1"/>
  <c r="AB468" i="1"/>
  <c r="AN468" i="1" s="1"/>
  <c r="AB469" i="1"/>
  <c r="AN469" i="1" s="1"/>
  <c r="AB470" i="1"/>
  <c r="AN470" i="1" s="1"/>
  <c r="AB471" i="1"/>
  <c r="AN471" i="1" s="1"/>
  <c r="AB472" i="1"/>
  <c r="AN472" i="1" s="1"/>
  <c r="AB473" i="1"/>
  <c r="AN473" i="1" s="1"/>
  <c r="AB474" i="1"/>
  <c r="AN474" i="1" s="1"/>
  <c r="AB475" i="1"/>
  <c r="AN475" i="1" s="1"/>
  <c r="AB476" i="1"/>
  <c r="AN476" i="1" s="1"/>
  <c r="AB477" i="1"/>
  <c r="AN477" i="1" s="1"/>
  <c r="AB478" i="1"/>
  <c r="AN478" i="1" s="1"/>
  <c r="AB479" i="1"/>
  <c r="AN479" i="1" s="1"/>
  <c r="AB480" i="1"/>
  <c r="AN480" i="1" s="1"/>
  <c r="AB481" i="1"/>
  <c r="AN481" i="1" s="1"/>
  <c r="AB482" i="1"/>
  <c r="AN482" i="1" s="1"/>
  <c r="AB483" i="1"/>
  <c r="AN483" i="1" s="1"/>
  <c r="AB484" i="1"/>
  <c r="AN484" i="1" s="1"/>
  <c r="AB485" i="1"/>
  <c r="AN485" i="1" s="1"/>
  <c r="AB486" i="1"/>
  <c r="AN486" i="1" s="1"/>
  <c r="AB487" i="1"/>
  <c r="AN487" i="1" s="1"/>
  <c r="AB488" i="1"/>
  <c r="AN488" i="1" s="1"/>
  <c r="AB489" i="1"/>
  <c r="AN489" i="1" s="1"/>
  <c r="AB490" i="1"/>
  <c r="AN490" i="1" s="1"/>
  <c r="AB491" i="1"/>
  <c r="AN491" i="1" s="1"/>
  <c r="AB492" i="1"/>
  <c r="AN492" i="1" s="1"/>
  <c r="AB493" i="1"/>
  <c r="AN493" i="1" s="1"/>
  <c r="AB494" i="1"/>
  <c r="AN494" i="1" s="1"/>
  <c r="AB495" i="1"/>
  <c r="AN495" i="1" s="1"/>
  <c r="AB496" i="1"/>
  <c r="AN496" i="1" s="1"/>
  <c r="AB497" i="1"/>
  <c r="AN497" i="1" s="1"/>
  <c r="AB498" i="1"/>
  <c r="AN498" i="1" s="1"/>
  <c r="AB499" i="1"/>
  <c r="AN499" i="1" s="1"/>
  <c r="AB500" i="1"/>
  <c r="AN500" i="1" s="1"/>
  <c r="AB501" i="1"/>
  <c r="AN501" i="1" s="1"/>
  <c r="AB502" i="1"/>
  <c r="AN502" i="1" s="1"/>
  <c r="AB503" i="1"/>
  <c r="AN503" i="1" s="1"/>
  <c r="AB504" i="1"/>
  <c r="AN504" i="1" s="1"/>
  <c r="AB505" i="1"/>
  <c r="AN505" i="1" s="1"/>
  <c r="AB506" i="1"/>
  <c r="AN506" i="1" s="1"/>
  <c r="AB507" i="1"/>
  <c r="AN507" i="1" s="1"/>
  <c r="AB508" i="1"/>
  <c r="AN508" i="1" s="1"/>
  <c r="AB509" i="1"/>
  <c r="AN509" i="1" s="1"/>
  <c r="AB510" i="1"/>
  <c r="AN510" i="1" s="1"/>
  <c r="AB511" i="1"/>
  <c r="AN511" i="1" s="1"/>
  <c r="AB512" i="1"/>
  <c r="AN512" i="1" s="1"/>
  <c r="AB513" i="1"/>
  <c r="AN513" i="1" s="1"/>
  <c r="AB514" i="1"/>
  <c r="AN514" i="1" s="1"/>
  <c r="AB515" i="1"/>
  <c r="AN515" i="1" s="1"/>
  <c r="AB516" i="1"/>
  <c r="AN516" i="1" s="1"/>
  <c r="AB517" i="1"/>
  <c r="AN517" i="1" s="1"/>
  <c r="AB518" i="1"/>
  <c r="AN518" i="1" s="1"/>
  <c r="AB519" i="1"/>
  <c r="AN519" i="1" s="1"/>
  <c r="AB520" i="1"/>
  <c r="AN520" i="1" s="1"/>
  <c r="AB521" i="1"/>
  <c r="AN521" i="1" s="1"/>
  <c r="AB522" i="1"/>
  <c r="AN522" i="1" s="1"/>
  <c r="AB523" i="1"/>
  <c r="AN523" i="1" s="1"/>
  <c r="AB524" i="1"/>
  <c r="AN524" i="1" s="1"/>
  <c r="AB525" i="1"/>
  <c r="AN525" i="1" s="1"/>
  <c r="AB526" i="1"/>
  <c r="AN526" i="1" s="1"/>
  <c r="AB527" i="1"/>
  <c r="AN527" i="1" s="1"/>
  <c r="AB528" i="1"/>
  <c r="AN528" i="1" s="1"/>
  <c r="AB529" i="1"/>
  <c r="AN529" i="1" s="1"/>
  <c r="AB530" i="1"/>
  <c r="AN530" i="1" s="1"/>
  <c r="AB531" i="1"/>
  <c r="AN531" i="1" s="1"/>
  <c r="AB532" i="1"/>
  <c r="AN532" i="1" s="1"/>
  <c r="AB533" i="1"/>
  <c r="AN533" i="1" s="1"/>
  <c r="AB534" i="1"/>
  <c r="AN534" i="1" s="1"/>
  <c r="AB535" i="1"/>
  <c r="AN535" i="1" s="1"/>
  <c r="AB536" i="1"/>
  <c r="AN536" i="1" s="1"/>
  <c r="AB537" i="1"/>
  <c r="AN537" i="1" s="1"/>
  <c r="AB538" i="1"/>
  <c r="AN538" i="1" s="1"/>
  <c r="AB539" i="1"/>
  <c r="AN539" i="1" s="1"/>
  <c r="AB540" i="1"/>
  <c r="AN540" i="1" s="1"/>
  <c r="AB541" i="1"/>
  <c r="AN541" i="1" s="1"/>
  <c r="AB542" i="1"/>
  <c r="AN542" i="1" s="1"/>
  <c r="AB543" i="1"/>
  <c r="AN543" i="1" s="1"/>
  <c r="AB544" i="1"/>
  <c r="AN544" i="1" s="1"/>
  <c r="AB545" i="1"/>
  <c r="AN545" i="1" s="1"/>
  <c r="AB546" i="1"/>
  <c r="AN546" i="1" s="1"/>
  <c r="AB547" i="1"/>
  <c r="AN547" i="1" s="1"/>
  <c r="AB548" i="1"/>
  <c r="AN548" i="1" s="1"/>
  <c r="AB549" i="1"/>
  <c r="AN549" i="1" s="1"/>
  <c r="AB550" i="1"/>
  <c r="AN550" i="1" s="1"/>
  <c r="AB551" i="1"/>
  <c r="AN551" i="1" s="1"/>
  <c r="AB552" i="1"/>
  <c r="AN552" i="1" s="1"/>
  <c r="AB553" i="1"/>
  <c r="AN553" i="1" s="1"/>
  <c r="AB554" i="1"/>
  <c r="AN554" i="1" s="1"/>
  <c r="AB555" i="1"/>
  <c r="AN555" i="1" s="1"/>
  <c r="AB556" i="1"/>
  <c r="AN556" i="1" s="1"/>
  <c r="AB557" i="1"/>
  <c r="AN557" i="1" s="1"/>
  <c r="AB558" i="1"/>
  <c r="AN558" i="1" s="1"/>
  <c r="AB559" i="1"/>
  <c r="AN559" i="1" s="1"/>
  <c r="AB560" i="1"/>
  <c r="AN560" i="1" s="1"/>
  <c r="AB561" i="1"/>
  <c r="AN561" i="1" s="1"/>
  <c r="AB562" i="1"/>
  <c r="AN562" i="1" s="1"/>
  <c r="AB563" i="1"/>
  <c r="AN563" i="1" s="1"/>
  <c r="AB564" i="1"/>
  <c r="AN564" i="1" s="1"/>
  <c r="AB565" i="1"/>
  <c r="AN565" i="1" s="1"/>
  <c r="AB566" i="1"/>
  <c r="AN566" i="1" s="1"/>
  <c r="AB567" i="1"/>
  <c r="AN567" i="1" s="1"/>
  <c r="AB568" i="1"/>
  <c r="AN568" i="1" s="1"/>
  <c r="AB569" i="1"/>
  <c r="AN569" i="1" s="1"/>
  <c r="AB570" i="1"/>
  <c r="AN570" i="1" s="1"/>
  <c r="AB571" i="1"/>
  <c r="AN571" i="1" s="1"/>
  <c r="AB572" i="1"/>
  <c r="AN572" i="1" s="1"/>
  <c r="AB573" i="1"/>
  <c r="AN573" i="1" s="1"/>
  <c r="AB574" i="1"/>
  <c r="AN574" i="1" s="1"/>
  <c r="AB575" i="1"/>
  <c r="AN575" i="1" s="1"/>
  <c r="AB576" i="1"/>
  <c r="AN576" i="1" s="1"/>
  <c r="AB577" i="1"/>
  <c r="AN577" i="1" s="1"/>
  <c r="AB578" i="1"/>
  <c r="AN578" i="1" s="1"/>
  <c r="AB579" i="1"/>
  <c r="AN579" i="1" s="1"/>
  <c r="AB580" i="1"/>
  <c r="AN580" i="1" s="1"/>
  <c r="AB581" i="1"/>
  <c r="AN581" i="1" s="1"/>
  <c r="AB582" i="1"/>
  <c r="AN582" i="1" s="1"/>
  <c r="AB583" i="1"/>
  <c r="AN583" i="1" s="1"/>
  <c r="AB584" i="1"/>
  <c r="AN584" i="1" s="1"/>
  <c r="AB585" i="1"/>
  <c r="AN585" i="1" s="1"/>
  <c r="AB586" i="1"/>
  <c r="AN586" i="1" s="1"/>
  <c r="AB587" i="1"/>
  <c r="AN587" i="1" s="1"/>
  <c r="AB588" i="1"/>
  <c r="AN588" i="1" s="1"/>
  <c r="AB589" i="1"/>
  <c r="AN589" i="1" s="1"/>
  <c r="AB590" i="1"/>
  <c r="AN590" i="1" s="1"/>
  <c r="AB591" i="1"/>
  <c r="AN591" i="1" s="1"/>
  <c r="AB592" i="1"/>
  <c r="AN592" i="1" s="1"/>
  <c r="AB593" i="1"/>
  <c r="AN593" i="1" s="1"/>
  <c r="AB594" i="1"/>
  <c r="AN594" i="1" s="1"/>
  <c r="AB595" i="1"/>
  <c r="AN595" i="1" s="1"/>
  <c r="AB596" i="1"/>
  <c r="AN596" i="1" s="1"/>
  <c r="AB597" i="1"/>
  <c r="AN597" i="1" s="1"/>
  <c r="AB598" i="1"/>
  <c r="AN598" i="1" s="1"/>
  <c r="AB599" i="1"/>
  <c r="AN599" i="1" s="1"/>
  <c r="AB600" i="1"/>
  <c r="AN600" i="1" s="1"/>
  <c r="AB601" i="1"/>
  <c r="AN601" i="1" s="1"/>
  <c r="AB602" i="1"/>
  <c r="AN602" i="1" s="1"/>
  <c r="AB603" i="1"/>
  <c r="AN603" i="1" s="1"/>
  <c r="AB604" i="1"/>
  <c r="AN604" i="1" s="1"/>
  <c r="AB605" i="1"/>
  <c r="AN605" i="1" s="1"/>
  <c r="AB606" i="1"/>
  <c r="AN606" i="1" s="1"/>
  <c r="AB607" i="1"/>
  <c r="AN607" i="1" s="1"/>
  <c r="AB608" i="1"/>
  <c r="AN608" i="1" s="1"/>
  <c r="AB609" i="1"/>
  <c r="AN609" i="1" s="1"/>
  <c r="AB610" i="1"/>
  <c r="AN610" i="1" s="1"/>
  <c r="AB611" i="1"/>
  <c r="AN611" i="1" s="1"/>
  <c r="AB612" i="1"/>
  <c r="AN612" i="1" s="1"/>
  <c r="AB613" i="1"/>
  <c r="AN613" i="1" s="1"/>
  <c r="AB614" i="1"/>
  <c r="AN614" i="1" s="1"/>
  <c r="AB615" i="1"/>
  <c r="AN615" i="1" s="1"/>
  <c r="AB616" i="1"/>
  <c r="AN616" i="1" s="1"/>
  <c r="AB617" i="1"/>
  <c r="AN617" i="1" s="1"/>
  <c r="AB618" i="1"/>
  <c r="AN618" i="1" s="1"/>
  <c r="AB619" i="1"/>
  <c r="AN619" i="1" s="1"/>
  <c r="AB620" i="1"/>
  <c r="AN620" i="1" s="1"/>
  <c r="AB621" i="1"/>
  <c r="AN621" i="1" s="1"/>
  <c r="AB622" i="1"/>
  <c r="AN622" i="1" s="1"/>
  <c r="AB623" i="1"/>
  <c r="AN623" i="1" s="1"/>
  <c r="AB624" i="1"/>
  <c r="AN624" i="1" s="1"/>
  <c r="AB625" i="1"/>
  <c r="AN625" i="1" s="1"/>
  <c r="AB626" i="1"/>
  <c r="AN626" i="1" s="1"/>
  <c r="AB627" i="1"/>
  <c r="AN627" i="1" s="1"/>
  <c r="AB628" i="1"/>
  <c r="AN628" i="1" s="1"/>
  <c r="AB629" i="1"/>
  <c r="AN629" i="1" s="1"/>
  <c r="AB630" i="1"/>
  <c r="AN630" i="1" s="1"/>
  <c r="AB631" i="1"/>
  <c r="AN631" i="1" s="1"/>
  <c r="AB632" i="1"/>
  <c r="AN632" i="1" s="1"/>
  <c r="AB633" i="1"/>
  <c r="AN633" i="1" s="1"/>
  <c r="AB634" i="1"/>
  <c r="AN634" i="1" s="1"/>
  <c r="AB635" i="1"/>
  <c r="AN635" i="1" s="1"/>
  <c r="I106" i="1" l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AM35" i="1" s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AM635" i="1" l="1"/>
  <c r="AL635" i="1"/>
  <c r="Q635" i="1" a="1"/>
  <c r="Q635" i="1" s="1"/>
  <c r="S635" i="1" s="1"/>
  <c r="AM634" i="1"/>
  <c r="AL634" i="1"/>
  <c r="Q634" i="1" a="1"/>
  <c r="Q634" i="1" s="1"/>
  <c r="S634" i="1" s="1"/>
  <c r="AM633" i="1"/>
  <c r="AL633" i="1"/>
  <c r="Q633" i="1" a="1"/>
  <c r="Q633" i="1" s="1"/>
  <c r="S633" i="1" s="1"/>
  <c r="AM632" i="1"/>
  <c r="AL632" i="1"/>
  <c r="Q632" i="1" a="1"/>
  <c r="Q632" i="1" s="1"/>
  <c r="S632" i="1" s="1"/>
  <c r="AM631" i="1"/>
  <c r="AL631" i="1"/>
  <c r="Q631" i="1" a="1"/>
  <c r="Q631" i="1" s="1"/>
  <c r="S631" i="1" s="1"/>
  <c r="AM630" i="1"/>
  <c r="AL630" i="1"/>
  <c r="Q630" i="1" a="1"/>
  <c r="Q630" i="1" s="1"/>
  <c r="S630" i="1" s="1"/>
  <c r="AM629" i="1"/>
  <c r="AL629" i="1"/>
  <c r="Q629" i="1" a="1"/>
  <c r="Q629" i="1" s="1"/>
  <c r="S629" i="1" s="1"/>
  <c r="AM628" i="1"/>
  <c r="AL628" i="1"/>
  <c r="Q628" i="1" a="1"/>
  <c r="Q628" i="1" s="1"/>
  <c r="S628" i="1" s="1"/>
  <c r="AM627" i="1"/>
  <c r="AL627" i="1"/>
  <c r="Q627" i="1" a="1"/>
  <c r="Q627" i="1" s="1"/>
  <c r="S627" i="1" s="1"/>
  <c r="AM626" i="1"/>
  <c r="AL626" i="1"/>
  <c r="Q626" i="1" a="1"/>
  <c r="Q626" i="1" s="1"/>
  <c r="S626" i="1" s="1"/>
  <c r="AM625" i="1"/>
  <c r="AL625" i="1"/>
  <c r="Q625" i="1" a="1"/>
  <c r="Q625" i="1" s="1"/>
  <c r="S625" i="1" s="1"/>
  <c r="AM624" i="1"/>
  <c r="AL624" i="1"/>
  <c r="Q624" i="1" a="1"/>
  <c r="Q624" i="1" s="1"/>
  <c r="S624" i="1" s="1"/>
  <c r="AM623" i="1"/>
  <c r="AL623" i="1"/>
  <c r="Q623" i="1" a="1"/>
  <c r="Q623" i="1" s="1"/>
  <c r="S623" i="1" s="1"/>
  <c r="AM622" i="1"/>
  <c r="AL622" i="1"/>
  <c r="Q622" i="1" a="1"/>
  <c r="Q622" i="1" s="1"/>
  <c r="S622" i="1" s="1"/>
  <c r="AM621" i="1"/>
  <c r="AL621" i="1"/>
  <c r="Q621" i="1" a="1"/>
  <c r="Q621" i="1" s="1"/>
  <c r="S621" i="1" s="1"/>
  <c r="AM620" i="1"/>
  <c r="AL620" i="1"/>
  <c r="Q620" i="1" a="1"/>
  <c r="Q620" i="1" s="1"/>
  <c r="S620" i="1" s="1"/>
  <c r="AM619" i="1"/>
  <c r="AL619" i="1"/>
  <c r="Q619" i="1" a="1"/>
  <c r="Q619" i="1" s="1"/>
  <c r="S619" i="1" s="1"/>
  <c r="AM618" i="1"/>
  <c r="AL618" i="1"/>
  <c r="Q618" i="1" a="1"/>
  <c r="Q618" i="1" s="1"/>
  <c r="S618" i="1" s="1"/>
  <c r="AM617" i="1"/>
  <c r="AL617" i="1"/>
  <c r="Q617" i="1" a="1"/>
  <c r="Q617" i="1" s="1"/>
  <c r="S617" i="1" s="1"/>
  <c r="AM616" i="1"/>
  <c r="AL616" i="1"/>
  <c r="Q616" i="1" a="1"/>
  <c r="Q616" i="1" s="1"/>
  <c r="S616" i="1" s="1"/>
  <c r="AM615" i="1"/>
  <c r="AL615" i="1"/>
  <c r="Q615" i="1" a="1"/>
  <c r="Q615" i="1" s="1"/>
  <c r="S615" i="1" s="1"/>
  <c r="AM614" i="1"/>
  <c r="AL614" i="1"/>
  <c r="Q614" i="1" a="1"/>
  <c r="Q614" i="1" s="1"/>
  <c r="S614" i="1" s="1"/>
  <c r="AM613" i="1"/>
  <c r="AL613" i="1"/>
  <c r="Q613" i="1" a="1"/>
  <c r="Q613" i="1" s="1"/>
  <c r="S613" i="1" s="1"/>
  <c r="AM612" i="1"/>
  <c r="AL612" i="1"/>
  <c r="Q612" i="1" a="1"/>
  <c r="Q612" i="1" s="1"/>
  <c r="S612" i="1" s="1"/>
  <c r="AM611" i="1"/>
  <c r="AL611" i="1"/>
  <c r="Q611" i="1" a="1"/>
  <c r="Q611" i="1" s="1"/>
  <c r="S611" i="1" s="1"/>
  <c r="AM610" i="1"/>
  <c r="AL610" i="1"/>
  <c r="Q610" i="1" a="1"/>
  <c r="Q610" i="1" s="1"/>
  <c r="S610" i="1" s="1"/>
  <c r="AM609" i="1"/>
  <c r="AL609" i="1"/>
  <c r="Q609" i="1" a="1"/>
  <c r="Q609" i="1" s="1"/>
  <c r="S609" i="1" s="1"/>
  <c r="AM608" i="1"/>
  <c r="AL608" i="1"/>
  <c r="Q608" i="1" a="1"/>
  <c r="Q608" i="1" s="1"/>
  <c r="S608" i="1" s="1"/>
  <c r="AM607" i="1"/>
  <c r="AL607" i="1"/>
  <c r="Q607" i="1" a="1"/>
  <c r="Q607" i="1" s="1"/>
  <c r="S607" i="1" s="1"/>
  <c r="AM606" i="1"/>
  <c r="AL606" i="1"/>
  <c r="Q606" i="1" a="1"/>
  <c r="Q606" i="1" s="1"/>
  <c r="S606" i="1" s="1"/>
  <c r="AM605" i="1"/>
  <c r="AL605" i="1"/>
  <c r="Q605" i="1" a="1"/>
  <c r="Q605" i="1" s="1"/>
  <c r="S605" i="1" s="1"/>
  <c r="AM604" i="1"/>
  <c r="AL604" i="1"/>
  <c r="Q604" i="1" a="1"/>
  <c r="Q604" i="1" s="1"/>
  <c r="S604" i="1" s="1"/>
  <c r="AM603" i="1"/>
  <c r="AL603" i="1"/>
  <c r="Q603" i="1" a="1"/>
  <c r="Q603" i="1" s="1"/>
  <c r="S603" i="1" s="1"/>
  <c r="AM602" i="1"/>
  <c r="AL602" i="1"/>
  <c r="Q602" i="1" a="1"/>
  <c r="Q602" i="1" s="1"/>
  <c r="S602" i="1" s="1"/>
  <c r="AM601" i="1"/>
  <c r="AL601" i="1"/>
  <c r="Q601" i="1" a="1"/>
  <c r="Q601" i="1" s="1"/>
  <c r="S601" i="1" s="1"/>
  <c r="AM600" i="1"/>
  <c r="AL600" i="1"/>
  <c r="Q600" i="1" a="1"/>
  <c r="Q600" i="1" s="1"/>
  <c r="S600" i="1" s="1"/>
  <c r="AM599" i="1"/>
  <c r="AL599" i="1"/>
  <c r="Q599" i="1" a="1"/>
  <c r="Q599" i="1" s="1"/>
  <c r="S599" i="1" s="1"/>
  <c r="AM598" i="1"/>
  <c r="AL598" i="1"/>
  <c r="Q598" i="1" a="1"/>
  <c r="Q598" i="1" s="1"/>
  <c r="S598" i="1" s="1"/>
  <c r="AM597" i="1"/>
  <c r="AL597" i="1"/>
  <c r="Q597" i="1" a="1"/>
  <c r="Q597" i="1" s="1"/>
  <c r="S597" i="1" s="1"/>
  <c r="AM596" i="1"/>
  <c r="AL596" i="1"/>
  <c r="Q596" i="1" a="1"/>
  <c r="Q596" i="1" s="1"/>
  <c r="S596" i="1" s="1"/>
  <c r="AM595" i="1"/>
  <c r="AL595" i="1"/>
  <c r="Q595" i="1" a="1"/>
  <c r="Q595" i="1" s="1"/>
  <c r="S595" i="1" s="1"/>
  <c r="AM594" i="1"/>
  <c r="AL594" i="1"/>
  <c r="Q594" i="1" a="1"/>
  <c r="Q594" i="1" s="1"/>
  <c r="S594" i="1" s="1"/>
  <c r="AM593" i="1"/>
  <c r="AL593" i="1"/>
  <c r="Q593" i="1" a="1"/>
  <c r="Q593" i="1" s="1"/>
  <c r="S593" i="1" s="1"/>
  <c r="AM592" i="1"/>
  <c r="AL592" i="1"/>
  <c r="Q592" i="1" a="1"/>
  <c r="Q592" i="1" s="1"/>
  <c r="S592" i="1" s="1"/>
  <c r="AM591" i="1"/>
  <c r="AL591" i="1"/>
  <c r="Q591" i="1" a="1"/>
  <c r="Q591" i="1" s="1"/>
  <c r="S591" i="1" s="1"/>
  <c r="AM590" i="1"/>
  <c r="AL590" i="1"/>
  <c r="Q590" i="1" a="1"/>
  <c r="Q590" i="1" s="1"/>
  <c r="S590" i="1" s="1"/>
  <c r="AM589" i="1"/>
  <c r="AL589" i="1"/>
  <c r="Q589" i="1" a="1"/>
  <c r="Q589" i="1" s="1"/>
  <c r="S589" i="1" s="1"/>
  <c r="AM588" i="1"/>
  <c r="AL588" i="1"/>
  <c r="Q588" i="1" a="1"/>
  <c r="Q588" i="1" s="1"/>
  <c r="S588" i="1" s="1"/>
  <c r="AM587" i="1"/>
  <c r="AL587" i="1"/>
  <c r="Q587" i="1" a="1"/>
  <c r="Q587" i="1" s="1"/>
  <c r="S587" i="1" s="1"/>
  <c r="AM586" i="1"/>
  <c r="AL586" i="1"/>
  <c r="Q586" i="1" a="1"/>
  <c r="Q586" i="1" s="1"/>
  <c r="S586" i="1" s="1"/>
  <c r="AM585" i="1"/>
  <c r="AL585" i="1"/>
  <c r="Q585" i="1" a="1"/>
  <c r="Q585" i="1" s="1"/>
  <c r="S585" i="1" s="1"/>
  <c r="AM584" i="1"/>
  <c r="AL584" i="1"/>
  <c r="Q584" i="1" a="1"/>
  <c r="Q584" i="1" s="1"/>
  <c r="S584" i="1" s="1"/>
  <c r="AM583" i="1"/>
  <c r="AL583" i="1"/>
  <c r="Q583" i="1" a="1"/>
  <c r="Q583" i="1" s="1"/>
  <c r="S583" i="1" s="1"/>
  <c r="AM582" i="1"/>
  <c r="AL582" i="1"/>
  <c r="Q582" i="1" a="1"/>
  <c r="Q582" i="1" s="1"/>
  <c r="S582" i="1" s="1"/>
  <c r="AM581" i="1"/>
  <c r="AL581" i="1"/>
  <c r="Q581" i="1" a="1"/>
  <c r="Q581" i="1" s="1"/>
  <c r="S581" i="1" s="1"/>
  <c r="AM580" i="1"/>
  <c r="AL580" i="1"/>
  <c r="Q580" i="1" a="1"/>
  <c r="Q580" i="1" s="1"/>
  <c r="S580" i="1" s="1"/>
  <c r="AM579" i="1"/>
  <c r="AL579" i="1"/>
  <c r="Q579" i="1" a="1"/>
  <c r="Q579" i="1" s="1"/>
  <c r="S579" i="1" s="1"/>
  <c r="AM578" i="1"/>
  <c r="AL578" i="1"/>
  <c r="Q578" i="1" a="1"/>
  <c r="Q578" i="1" s="1"/>
  <c r="S578" i="1" s="1"/>
  <c r="AM577" i="1"/>
  <c r="AL577" i="1"/>
  <c r="Q577" i="1" a="1"/>
  <c r="Q577" i="1" s="1"/>
  <c r="S577" i="1" s="1"/>
  <c r="AM576" i="1"/>
  <c r="AL576" i="1"/>
  <c r="Q576" i="1" a="1"/>
  <c r="Q576" i="1" s="1"/>
  <c r="S576" i="1" s="1"/>
  <c r="AM575" i="1"/>
  <c r="AL575" i="1"/>
  <c r="Q575" i="1" a="1"/>
  <c r="Q575" i="1" s="1"/>
  <c r="S575" i="1" s="1"/>
  <c r="AM574" i="1"/>
  <c r="AL574" i="1"/>
  <c r="Q574" i="1" a="1"/>
  <c r="Q574" i="1" s="1"/>
  <c r="S574" i="1" s="1"/>
  <c r="AM573" i="1"/>
  <c r="AL573" i="1"/>
  <c r="Q573" i="1" a="1"/>
  <c r="Q573" i="1" s="1"/>
  <c r="S573" i="1" s="1"/>
  <c r="AM572" i="1"/>
  <c r="AL572" i="1"/>
  <c r="Q572" i="1" a="1"/>
  <c r="Q572" i="1" s="1"/>
  <c r="S572" i="1" s="1"/>
  <c r="AM571" i="1"/>
  <c r="AL571" i="1"/>
  <c r="Q571" i="1" a="1"/>
  <c r="Q571" i="1" s="1"/>
  <c r="S571" i="1" s="1"/>
  <c r="AM570" i="1"/>
  <c r="AL570" i="1"/>
  <c r="Q570" i="1" a="1"/>
  <c r="Q570" i="1" s="1"/>
  <c r="S570" i="1" s="1"/>
  <c r="AM569" i="1"/>
  <c r="AL569" i="1"/>
  <c r="Q569" i="1" a="1"/>
  <c r="Q569" i="1" s="1"/>
  <c r="S569" i="1" s="1"/>
  <c r="AM568" i="1"/>
  <c r="AL568" i="1"/>
  <c r="Q568" i="1" a="1"/>
  <c r="Q568" i="1" s="1"/>
  <c r="S568" i="1" s="1"/>
  <c r="AM567" i="1"/>
  <c r="AL567" i="1"/>
  <c r="Q567" i="1" a="1"/>
  <c r="Q567" i="1" s="1"/>
  <c r="S567" i="1" s="1"/>
  <c r="AM566" i="1"/>
  <c r="AL566" i="1"/>
  <c r="Q566" i="1" a="1"/>
  <c r="Q566" i="1" s="1"/>
  <c r="S566" i="1" s="1"/>
  <c r="AM565" i="1"/>
  <c r="AL565" i="1"/>
  <c r="Q565" i="1" a="1"/>
  <c r="Q565" i="1" s="1"/>
  <c r="S565" i="1" s="1"/>
  <c r="AM564" i="1"/>
  <c r="AL564" i="1"/>
  <c r="Q564" i="1" a="1"/>
  <c r="Q564" i="1" s="1"/>
  <c r="S564" i="1" s="1"/>
  <c r="AM563" i="1"/>
  <c r="AL563" i="1"/>
  <c r="Q563" i="1" a="1"/>
  <c r="Q563" i="1" s="1"/>
  <c r="S563" i="1" s="1"/>
  <c r="AM562" i="1"/>
  <c r="AL562" i="1"/>
  <c r="Q562" i="1" a="1"/>
  <c r="Q562" i="1" s="1"/>
  <c r="S562" i="1" s="1"/>
  <c r="AM561" i="1"/>
  <c r="AL561" i="1"/>
  <c r="Q561" i="1" a="1"/>
  <c r="Q561" i="1" s="1"/>
  <c r="S561" i="1" s="1"/>
  <c r="AM560" i="1"/>
  <c r="AL560" i="1"/>
  <c r="Q560" i="1" a="1"/>
  <c r="Q560" i="1" s="1"/>
  <c r="S560" i="1" s="1"/>
  <c r="AM559" i="1"/>
  <c r="AL559" i="1"/>
  <c r="Q559" i="1" a="1"/>
  <c r="Q559" i="1" s="1"/>
  <c r="S559" i="1" s="1"/>
  <c r="AM558" i="1"/>
  <c r="AL558" i="1"/>
  <c r="Q558" i="1" a="1"/>
  <c r="Q558" i="1" s="1"/>
  <c r="S558" i="1" s="1"/>
  <c r="AM557" i="1"/>
  <c r="AL557" i="1"/>
  <c r="Q557" i="1" a="1"/>
  <c r="Q557" i="1" s="1"/>
  <c r="S557" i="1" s="1"/>
  <c r="AM556" i="1"/>
  <c r="AL556" i="1"/>
  <c r="Q556" i="1" a="1"/>
  <c r="Q556" i="1" s="1"/>
  <c r="S556" i="1" s="1"/>
  <c r="AM555" i="1"/>
  <c r="AL555" i="1"/>
  <c r="Q555" i="1" a="1"/>
  <c r="Q555" i="1" s="1"/>
  <c r="S555" i="1" s="1"/>
  <c r="AM554" i="1"/>
  <c r="AL554" i="1"/>
  <c r="Q554" i="1" a="1"/>
  <c r="Q554" i="1" s="1"/>
  <c r="S554" i="1" s="1"/>
  <c r="AM553" i="1"/>
  <c r="AL553" i="1"/>
  <c r="Q553" i="1" a="1"/>
  <c r="Q553" i="1" s="1"/>
  <c r="S553" i="1" s="1"/>
  <c r="AM552" i="1"/>
  <c r="AL552" i="1"/>
  <c r="Q552" i="1" a="1"/>
  <c r="Q552" i="1" s="1"/>
  <c r="S552" i="1" s="1"/>
  <c r="AM551" i="1"/>
  <c r="AL551" i="1"/>
  <c r="Q551" i="1" a="1"/>
  <c r="Q551" i="1" s="1"/>
  <c r="S551" i="1" s="1"/>
  <c r="AM550" i="1"/>
  <c r="AL550" i="1"/>
  <c r="Q550" i="1" a="1"/>
  <c r="Q550" i="1" s="1"/>
  <c r="S550" i="1" s="1"/>
  <c r="AM549" i="1"/>
  <c r="AL549" i="1"/>
  <c r="Q549" i="1" a="1"/>
  <c r="Q549" i="1" s="1"/>
  <c r="S549" i="1" s="1"/>
  <c r="AM548" i="1"/>
  <c r="AL548" i="1"/>
  <c r="Q548" i="1" a="1"/>
  <c r="Q548" i="1" s="1"/>
  <c r="S548" i="1" s="1"/>
  <c r="AM547" i="1"/>
  <c r="AL547" i="1"/>
  <c r="Q547" i="1" a="1"/>
  <c r="Q547" i="1" s="1"/>
  <c r="S547" i="1" s="1"/>
  <c r="AM546" i="1"/>
  <c r="AL546" i="1"/>
  <c r="Q546" i="1" a="1"/>
  <c r="Q546" i="1" s="1"/>
  <c r="S546" i="1" s="1"/>
  <c r="AM545" i="1"/>
  <c r="AL545" i="1"/>
  <c r="Q545" i="1" a="1"/>
  <c r="Q545" i="1" s="1"/>
  <c r="S545" i="1" s="1"/>
  <c r="AM544" i="1"/>
  <c r="AL544" i="1"/>
  <c r="Q544" i="1" a="1"/>
  <c r="Q544" i="1" s="1"/>
  <c r="S544" i="1" s="1"/>
  <c r="AM543" i="1"/>
  <c r="AL543" i="1"/>
  <c r="Q543" i="1" a="1"/>
  <c r="Q543" i="1" s="1"/>
  <c r="S543" i="1" s="1"/>
  <c r="AM542" i="1"/>
  <c r="AL542" i="1"/>
  <c r="Q542" i="1" a="1"/>
  <c r="Q542" i="1" s="1"/>
  <c r="S542" i="1" s="1"/>
  <c r="AM541" i="1"/>
  <c r="AL541" i="1"/>
  <c r="Q541" i="1" a="1"/>
  <c r="Q541" i="1" s="1"/>
  <c r="S541" i="1" s="1"/>
  <c r="AM540" i="1"/>
  <c r="AL540" i="1"/>
  <c r="Q540" i="1" a="1"/>
  <c r="Q540" i="1" s="1"/>
  <c r="S540" i="1" s="1"/>
  <c r="AM539" i="1"/>
  <c r="AL539" i="1"/>
  <c r="Q539" i="1" a="1"/>
  <c r="Q539" i="1" s="1"/>
  <c r="S539" i="1" s="1"/>
  <c r="AM538" i="1"/>
  <c r="AL538" i="1"/>
  <c r="Q538" i="1" a="1"/>
  <c r="Q538" i="1" s="1"/>
  <c r="S538" i="1" s="1"/>
  <c r="AM537" i="1"/>
  <c r="AL537" i="1"/>
  <c r="Q537" i="1" a="1"/>
  <c r="Q537" i="1" s="1"/>
  <c r="S537" i="1" s="1"/>
  <c r="AM536" i="1"/>
  <c r="AL536" i="1"/>
  <c r="Q536" i="1" a="1"/>
  <c r="Q536" i="1" s="1"/>
  <c r="S536" i="1" s="1"/>
  <c r="AM535" i="1"/>
  <c r="AL535" i="1"/>
  <c r="Q535" i="1" a="1"/>
  <c r="Q535" i="1" s="1"/>
  <c r="S535" i="1" s="1"/>
  <c r="AM534" i="1"/>
  <c r="AL534" i="1"/>
  <c r="Q534" i="1" a="1"/>
  <c r="Q534" i="1" s="1"/>
  <c r="S534" i="1" s="1"/>
  <c r="AM533" i="1"/>
  <c r="AL533" i="1"/>
  <c r="Q533" i="1" a="1"/>
  <c r="Q533" i="1" s="1"/>
  <c r="S533" i="1" s="1"/>
  <c r="AM532" i="1"/>
  <c r="AL532" i="1"/>
  <c r="Q532" i="1" a="1"/>
  <c r="Q532" i="1" s="1"/>
  <c r="S532" i="1" s="1"/>
  <c r="AM531" i="1"/>
  <c r="AL531" i="1"/>
  <c r="Q531" i="1" a="1"/>
  <c r="Q531" i="1" s="1"/>
  <c r="S531" i="1" s="1"/>
  <c r="AM530" i="1"/>
  <c r="AL530" i="1"/>
  <c r="Q530" i="1" a="1"/>
  <c r="Q530" i="1" s="1"/>
  <c r="S530" i="1" s="1"/>
  <c r="AM529" i="1"/>
  <c r="AL529" i="1"/>
  <c r="Q529" i="1" a="1"/>
  <c r="Q529" i="1" s="1"/>
  <c r="S529" i="1" s="1"/>
  <c r="AM528" i="1"/>
  <c r="AL528" i="1"/>
  <c r="Q528" i="1" a="1"/>
  <c r="Q528" i="1" s="1"/>
  <c r="S528" i="1" s="1"/>
  <c r="AM527" i="1"/>
  <c r="AL527" i="1"/>
  <c r="Q527" i="1" a="1"/>
  <c r="Q527" i="1" s="1"/>
  <c r="S527" i="1" s="1"/>
  <c r="AM526" i="1"/>
  <c r="AL526" i="1"/>
  <c r="Q526" i="1" a="1"/>
  <c r="Q526" i="1" s="1"/>
  <c r="S526" i="1" s="1"/>
  <c r="AM525" i="1"/>
  <c r="AL525" i="1"/>
  <c r="Q525" i="1" a="1"/>
  <c r="Q525" i="1" s="1"/>
  <c r="S525" i="1" s="1"/>
  <c r="AM524" i="1"/>
  <c r="AL524" i="1"/>
  <c r="Q524" i="1" a="1"/>
  <c r="Q524" i="1" s="1"/>
  <c r="S524" i="1" s="1"/>
  <c r="AM523" i="1"/>
  <c r="AL523" i="1"/>
  <c r="Q523" i="1" a="1"/>
  <c r="Q523" i="1" s="1"/>
  <c r="S523" i="1" s="1"/>
  <c r="AM522" i="1"/>
  <c r="AL522" i="1"/>
  <c r="Q522" i="1" a="1"/>
  <c r="Q522" i="1" s="1"/>
  <c r="S522" i="1" s="1"/>
  <c r="AM521" i="1"/>
  <c r="AL521" i="1"/>
  <c r="Q521" i="1" a="1"/>
  <c r="Q521" i="1" s="1"/>
  <c r="S521" i="1" s="1"/>
  <c r="AM520" i="1"/>
  <c r="AL520" i="1"/>
  <c r="Q520" i="1" a="1"/>
  <c r="Q520" i="1" s="1"/>
  <c r="S520" i="1" s="1"/>
  <c r="AM519" i="1"/>
  <c r="AL519" i="1"/>
  <c r="Q519" i="1" a="1"/>
  <c r="Q519" i="1" s="1"/>
  <c r="S519" i="1" s="1"/>
  <c r="AM518" i="1"/>
  <c r="AL518" i="1"/>
  <c r="Q518" i="1" a="1"/>
  <c r="Q518" i="1" s="1"/>
  <c r="S518" i="1" s="1"/>
  <c r="AM517" i="1"/>
  <c r="AL517" i="1"/>
  <c r="Q517" i="1" a="1"/>
  <c r="Q517" i="1" s="1"/>
  <c r="S517" i="1" s="1"/>
  <c r="AM516" i="1"/>
  <c r="AL516" i="1"/>
  <c r="Q516" i="1" a="1"/>
  <c r="Q516" i="1" s="1"/>
  <c r="S516" i="1" s="1"/>
  <c r="AM515" i="1"/>
  <c r="AL515" i="1"/>
  <c r="Q515" i="1" a="1"/>
  <c r="Q515" i="1" s="1"/>
  <c r="S515" i="1" s="1"/>
  <c r="AM514" i="1"/>
  <c r="AL514" i="1"/>
  <c r="Q514" i="1" a="1"/>
  <c r="Q514" i="1" s="1"/>
  <c r="S514" i="1" s="1"/>
  <c r="AM513" i="1"/>
  <c r="AL513" i="1"/>
  <c r="Q513" i="1" a="1"/>
  <c r="Q513" i="1" s="1"/>
  <c r="S513" i="1" s="1"/>
  <c r="AM512" i="1"/>
  <c r="AL512" i="1"/>
  <c r="Q512" i="1" a="1"/>
  <c r="Q512" i="1" s="1"/>
  <c r="S512" i="1" s="1"/>
  <c r="AM511" i="1"/>
  <c r="AL511" i="1"/>
  <c r="Q511" i="1" a="1"/>
  <c r="Q511" i="1" s="1"/>
  <c r="S511" i="1" s="1"/>
  <c r="AM510" i="1"/>
  <c r="AL510" i="1"/>
  <c r="Q510" i="1" a="1"/>
  <c r="Q510" i="1" s="1"/>
  <c r="S510" i="1" s="1"/>
  <c r="AM509" i="1"/>
  <c r="AL509" i="1"/>
  <c r="Q509" i="1" a="1"/>
  <c r="Q509" i="1" s="1"/>
  <c r="S509" i="1" s="1"/>
  <c r="AM508" i="1"/>
  <c r="AL508" i="1"/>
  <c r="Q508" i="1" a="1"/>
  <c r="Q508" i="1" s="1"/>
  <c r="S508" i="1" s="1"/>
  <c r="AM507" i="1"/>
  <c r="AL507" i="1"/>
  <c r="Q507" i="1" a="1"/>
  <c r="Q507" i="1" s="1"/>
  <c r="S507" i="1" s="1"/>
  <c r="AM506" i="1"/>
  <c r="AL506" i="1"/>
  <c r="Q506" i="1" a="1"/>
  <c r="Q506" i="1" s="1"/>
  <c r="S506" i="1" s="1"/>
  <c r="AM505" i="1"/>
  <c r="AL505" i="1"/>
  <c r="Q505" i="1" a="1"/>
  <c r="Q505" i="1" s="1"/>
  <c r="S505" i="1" s="1"/>
  <c r="AM504" i="1"/>
  <c r="AL504" i="1"/>
  <c r="Q504" i="1" a="1"/>
  <c r="Q504" i="1" s="1"/>
  <c r="S504" i="1" s="1"/>
  <c r="AM503" i="1"/>
  <c r="AL503" i="1"/>
  <c r="Q503" i="1" a="1"/>
  <c r="Q503" i="1" s="1"/>
  <c r="S503" i="1" s="1"/>
  <c r="AM502" i="1"/>
  <c r="AL502" i="1"/>
  <c r="Q502" i="1" a="1"/>
  <c r="Q502" i="1" s="1"/>
  <c r="S502" i="1" s="1"/>
  <c r="AM501" i="1"/>
  <c r="AL501" i="1"/>
  <c r="Q501" i="1" a="1"/>
  <c r="Q501" i="1" s="1"/>
  <c r="S501" i="1" s="1"/>
  <c r="AM500" i="1"/>
  <c r="AL500" i="1"/>
  <c r="Q500" i="1" a="1"/>
  <c r="Q500" i="1" s="1"/>
  <c r="S500" i="1" s="1"/>
  <c r="AM499" i="1"/>
  <c r="AL499" i="1"/>
  <c r="Q499" i="1" a="1"/>
  <c r="Q499" i="1" s="1"/>
  <c r="S499" i="1" s="1"/>
  <c r="AM498" i="1"/>
  <c r="AL498" i="1"/>
  <c r="Q498" i="1" a="1"/>
  <c r="Q498" i="1" s="1"/>
  <c r="S498" i="1" s="1"/>
  <c r="AM497" i="1"/>
  <c r="AL497" i="1"/>
  <c r="Q497" i="1" a="1"/>
  <c r="Q497" i="1" s="1"/>
  <c r="S497" i="1" s="1"/>
  <c r="AM496" i="1"/>
  <c r="AL496" i="1"/>
  <c r="Q496" i="1" a="1"/>
  <c r="Q496" i="1" s="1"/>
  <c r="S496" i="1" s="1"/>
  <c r="AM495" i="1"/>
  <c r="AL495" i="1"/>
  <c r="Q495" i="1" a="1"/>
  <c r="Q495" i="1" s="1"/>
  <c r="S495" i="1" s="1"/>
  <c r="AM494" i="1"/>
  <c r="AL494" i="1"/>
  <c r="Q494" i="1" a="1"/>
  <c r="Q494" i="1" s="1"/>
  <c r="S494" i="1" s="1"/>
  <c r="AM493" i="1"/>
  <c r="AL493" i="1"/>
  <c r="Q493" i="1" a="1"/>
  <c r="Q493" i="1" s="1"/>
  <c r="S493" i="1" s="1"/>
  <c r="AM492" i="1"/>
  <c r="AL492" i="1"/>
  <c r="Q492" i="1" a="1"/>
  <c r="Q492" i="1" s="1"/>
  <c r="S492" i="1" s="1"/>
  <c r="AM491" i="1"/>
  <c r="AL491" i="1"/>
  <c r="Q491" i="1" a="1"/>
  <c r="Q491" i="1" s="1"/>
  <c r="S491" i="1" s="1"/>
  <c r="AM490" i="1"/>
  <c r="AL490" i="1"/>
  <c r="Q490" i="1" a="1"/>
  <c r="Q490" i="1" s="1"/>
  <c r="S490" i="1" s="1"/>
  <c r="AM489" i="1"/>
  <c r="AL489" i="1"/>
  <c r="Q489" i="1" a="1"/>
  <c r="Q489" i="1" s="1"/>
  <c r="S489" i="1" s="1"/>
  <c r="AM488" i="1"/>
  <c r="AL488" i="1"/>
  <c r="Q488" i="1" a="1"/>
  <c r="Q488" i="1" s="1"/>
  <c r="S488" i="1" s="1"/>
  <c r="AM487" i="1"/>
  <c r="AL487" i="1"/>
  <c r="Q487" i="1" a="1"/>
  <c r="Q487" i="1" s="1"/>
  <c r="S487" i="1" s="1"/>
  <c r="AM486" i="1"/>
  <c r="AL486" i="1"/>
  <c r="Q486" i="1" a="1"/>
  <c r="Q486" i="1" s="1"/>
  <c r="S486" i="1" s="1"/>
  <c r="AM485" i="1"/>
  <c r="AL485" i="1"/>
  <c r="Q485" i="1" a="1"/>
  <c r="Q485" i="1" s="1"/>
  <c r="S485" i="1" s="1"/>
  <c r="AM484" i="1"/>
  <c r="AL484" i="1"/>
  <c r="Q484" i="1" a="1"/>
  <c r="Q484" i="1" s="1"/>
  <c r="S484" i="1" s="1"/>
  <c r="AM483" i="1"/>
  <c r="AL483" i="1"/>
  <c r="Q483" i="1" a="1"/>
  <c r="Q483" i="1" s="1"/>
  <c r="S483" i="1" s="1"/>
  <c r="AM482" i="1"/>
  <c r="AL482" i="1"/>
  <c r="Q482" i="1" a="1"/>
  <c r="Q482" i="1" s="1"/>
  <c r="S482" i="1" s="1"/>
  <c r="AM481" i="1"/>
  <c r="AL481" i="1"/>
  <c r="Q481" i="1" a="1"/>
  <c r="Q481" i="1" s="1"/>
  <c r="S481" i="1" s="1"/>
  <c r="AM480" i="1"/>
  <c r="AL480" i="1"/>
  <c r="Q480" i="1" a="1"/>
  <c r="Q480" i="1" s="1"/>
  <c r="S480" i="1" s="1"/>
  <c r="AM479" i="1"/>
  <c r="AL479" i="1"/>
  <c r="Q479" i="1" a="1"/>
  <c r="Q479" i="1" s="1"/>
  <c r="S479" i="1" s="1"/>
  <c r="AM478" i="1"/>
  <c r="AL478" i="1"/>
  <c r="Q478" i="1" a="1"/>
  <c r="Q478" i="1" s="1"/>
  <c r="S478" i="1" s="1"/>
  <c r="AM477" i="1"/>
  <c r="AL477" i="1"/>
  <c r="Q477" i="1" a="1"/>
  <c r="Q477" i="1" s="1"/>
  <c r="S477" i="1" s="1"/>
  <c r="AM476" i="1"/>
  <c r="AL476" i="1"/>
  <c r="Q476" i="1" a="1"/>
  <c r="Q476" i="1" s="1"/>
  <c r="S476" i="1" s="1"/>
  <c r="AM475" i="1"/>
  <c r="AL475" i="1"/>
  <c r="Q475" i="1" a="1"/>
  <c r="Q475" i="1" s="1"/>
  <c r="S475" i="1" s="1"/>
  <c r="AM474" i="1"/>
  <c r="AL474" i="1"/>
  <c r="Q474" i="1" a="1"/>
  <c r="Q474" i="1" s="1"/>
  <c r="S474" i="1" s="1"/>
  <c r="AM473" i="1"/>
  <c r="AL473" i="1"/>
  <c r="Q473" i="1" a="1"/>
  <c r="Q473" i="1" s="1"/>
  <c r="S473" i="1" s="1"/>
  <c r="AM472" i="1"/>
  <c r="AL472" i="1"/>
  <c r="Q472" i="1" a="1"/>
  <c r="Q472" i="1" s="1"/>
  <c r="S472" i="1" s="1"/>
  <c r="AM471" i="1"/>
  <c r="AL471" i="1"/>
  <c r="Q471" i="1" a="1"/>
  <c r="Q471" i="1" s="1"/>
  <c r="S471" i="1" s="1"/>
  <c r="AM470" i="1"/>
  <c r="AL470" i="1"/>
  <c r="Q470" i="1" a="1"/>
  <c r="Q470" i="1" s="1"/>
  <c r="S470" i="1" s="1"/>
  <c r="AM469" i="1"/>
  <c r="AL469" i="1"/>
  <c r="Q469" i="1" a="1"/>
  <c r="Q469" i="1" s="1"/>
  <c r="S469" i="1" s="1"/>
  <c r="AM468" i="1"/>
  <c r="AL468" i="1"/>
  <c r="Q468" i="1" a="1"/>
  <c r="Q468" i="1" s="1"/>
  <c r="S468" i="1" s="1"/>
  <c r="AM467" i="1"/>
  <c r="AL467" i="1"/>
  <c r="Q467" i="1" a="1"/>
  <c r="Q467" i="1" s="1"/>
  <c r="S467" i="1" s="1"/>
  <c r="AM466" i="1"/>
  <c r="AL466" i="1"/>
  <c r="Q466" i="1" a="1"/>
  <c r="Q466" i="1" s="1"/>
  <c r="S466" i="1" s="1"/>
  <c r="AM465" i="1"/>
  <c r="AL465" i="1"/>
  <c r="Q465" i="1" a="1"/>
  <c r="Q465" i="1" s="1"/>
  <c r="S465" i="1" s="1"/>
  <c r="AM464" i="1"/>
  <c r="AL464" i="1"/>
  <c r="Q464" i="1" a="1"/>
  <c r="Q464" i="1" s="1"/>
  <c r="S464" i="1" s="1"/>
  <c r="AM463" i="1"/>
  <c r="AL463" i="1"/>
  <c r="Q463" i="1" a="1"/>
  <c r="Q463" i="1" s="1"/>
  <c r="S463" i="1" s="1"/>
  <c r="AM462" i="1"/>
  <c r="AL462" i="1"/>
  <c r="Q462" i="1" a="1"/>
  <c r="Q462" i="1" s="1"/>
  <c r="S462" i="1" s="1"/>
  <c r="AM461" i="1"/>
  <c r="AL461" i="1"/>
  <c r="Q461" i="1" a="1"/>
  <c r="Q461" i="1" s="1"/>
  <c r="S461" i="1" s="1"/>
  <c r="AM460" i="1"/>
  <c r="AL460" i="1"/>
  <c r="Q460" i="1" a="1"/>
  <c r="Q460" i="1" s="1"/>
  <c r="S460" i="1" s="1"/>
  <c r="AM459" i="1"/>
  <c r="AL459" i="1"/>
  <c r="Q459" i="1" a="1"/>
  <c r="Q459" i="1" s="1"/>
  <c r="S459" i="1" s="1"/>
  <c r="AM458" i="1"/>
  <c r="AL458" i="1"/>
  <c r="Q458" i="1" a="1"/>
  <c r="Q458" i="1" s="1"/>
  <c r="S458" i="1" s="1"/>
  <c r="AM457" i="1"/>
  <c r="AL457" i="1"/>
  <c r="Q457" i="1" a="1"/>
  <c r="Q457" i="1" s="1"/>
  <c r="S457" i="1" s="1"/>
  <c r="AM456" i="1"/>
  <c r="AL456" i="1"/>
  <c r="Q456" i="1" a="1"/>
  <c r="Q456" i="1" s="1"/>
  <c r="S456" i="1" s="1"/>
  <c r="AM455" i="1"/>
  <c r="AL455" i="1"/>
  <c r="Q455" i="1" a="1"/>
  <c r="Q455" i="1" s="1"/>
  <c r="S455" i="1" s="1"/>
  <c r="AM454" i="1"/>
  <c r="AL454" i="1"/>
  <c r="Q454" i="1" a="1"/>
  <c r="Q454" i="1" s="1"/>
  <c r="S454" i="1" s="1"/>
  <c r="AM453" i="1"/>
  <c r="AL453" i="1"/>
  <c r="Q453" i="1" a="1"/>
  <c r="Q453" i="1" s="1"/>
  <c r="S453" i="1" s="1"/>
  <c r="AM452" i="1"/>
  <c r="AL452" i="1"/>
  <c r="Q452" i="1" a="1"/>
  <c r="Q452" i="1" s="1"/>
  <c r="S452" i="1" s="1"/>
  <c r="AM451" i="1"/>
  <c r="AL451" i="1"/>
  <c r="Q451" i="1" a="1"/>
  <c r="Q451" i="1" s="1"/>
  <c r="S451" i="1" s="1"/>
  <c r="AM450" i="1"/>
  <c r="AL450" i="1"/>
  <c r="Q450" i="1" a="1"/>
  <c r="Q450" i="1" s="1"/>
  <c r="S450" i="1" s="1"/>
  <c r="AM449" i="1"/>
  <c r="AL449" i="1"/>
  <c r="Q449" i="1" a="1"/>
  <c r="Q449" i="1" s="1"/>
  <c r="S449" i="1" s="1"/>
  <c r="AM448" i="1"/>
  <c r="AL448" i="1"/>
  <c r="Q448" i="1" a="1"/>
  <c r="Q448" i="1" s="1"/>
  <c r="S448" i="1" s="1"/>
  <c r="AM447" i="1"/>
  <c r="AL447" i="1"/>
  <c r="Q447" i="1" a="1"/>
  <c r="Q447" i="1" s="1"/>
  <c r="S447" i="1" s="1"/>
  <c r="AM446" i="1"/>
  <c r="AL446" i="1"/>
  <c r="Q446" i="1" a="1"/>
  <c r="Q446" i="1" s="1"/>
  <c r="S446" i="1" s="1"/>
  <c r="AM445" i="1"/>
  <c r="AL445" i="1"/>
  <c r="Q445" i="1" a="1"/>
  <c r="Q445" i="1" s="1"/>
  <c r="S445" i="1" s="1"/>
  <c r="AM444" i="1"/>
  <c r="AL444" i="1"/>
  <c r="Q444" i="1" a="1"/>
  <c r="Q444" i="1" s="1"/>
  <c r="S444" i="1" s="1"/>
  <c r="AM443" i="1"/>
  <c r="AL443" i="1"/>
  <c r="Q443" i="1" a="1"/>
  <c r="Q443" i="1" s="1"/>
  <c r="S443" i="1" s="1"/>
  <c r="AM442" i="1"/>
  <c r="AL442" i="1"/>
  <c r="Q442" i="1" a="1"/>
  <c r="Q442" i="1" s="1"/>
  <c r="S442" i="1" s="1"/>
  <c r="AM441" i="1"/>
  <c r="AL441" i="1"/>
  <c r="Q441" i="1" a="1"/>
  <c r="Q441" i="1" s="1"/>
  <c r="S441" i="1" s="1"/>
  <c r="AM440" i="1"/>
  <c r="AL440" i="1"/>
  <c r="Q440" i="1" a="1"/>
  <c r="Q440" i="1" s="1"/>
  <c r="S440" i="1" s="1"/>
  <c r="AM439" i="1"/>
  <c r="AL439" i="1"/>
  <c r="Q439" i="1" a="1"/>
  <c r="Q439" i="1" s="1"/>
  <c r="S439" i="1" s="1"/>
  <c r="AM438" i="1"/>
  <c r="AL438" i="1"/>
  <c r="Q438" i="1" a="1"/>
  <c r="Q438" i="1" s="1"/>
  <c r="S438" i="1" s="1"/>
  <c r="AM437" i="1"/>
  <c r="AL437" i="1"/>
  <c r="Q437" i="1" a="1"/>
  <c r="Q437" i="1" s="1"/>
  <c r="S437" i="1" s="1"/>
  <c r="AM436" i="1"/>
  <c r="AL436" i="1"/>
  <c r="Q436" i="1" a="1"/>
  <c r="Q436" i="1" s="1"/>
  <c r="S436" i="1" s="1"/>
  <c r="AM435" i="1"/>
  <c r="AL435" i="1"/>
  <c r="Q435" i="1" a="1"/>
  <c r="Q435" i="1" s="1"/>
  <c r="S435" i="1" s="1"/>
  <c r="AM434" i="1"/>
  <c r="AL434" i="1"/>
  <c r="Q434" i="1" a="1"/>
  <c r="Q434" i="1" s="1"/>
  <c r="S434" i="1" s="1"/>
  <c r="AM433" i="1"/>
  <c r="AL433" i="1"/>
  <c r="Q433" i="1" a="1"/>
  <c r="Q433" i="1" s="1"/>
  <c r="S433" i="1" s="1"/>
  <c r="AM432" i="1"/>
  <c r="AL432" i="1"/>
  <c r="Q432" i="1" a="1"/>
  <c r="Q432" i="1" s="1"/>
  <c r="S432" i="1" s="1"/>
  <c r="AM431" i="1"/>
  <c r="AL431" i="1"/>
  <c r="Q431" i="1" a="1"/>
  <c r="Q431" i="1" s="1"/>
  <c r="S431" i="1" s="1"/>
  <c r="AM430" i="1"/>
  <c r="AL430" i="1"/>
  <c r="Q430" i="1" a="1"/>
  <c r="Q430" i="1" s="1"/>
  <c r="S430" i="1" s="1"/>
  <c r="AM429" i="1"/>
  <c r="AL429" i="1"/>
  <c r="Q429" i="1" a="1"/>
  <c r="Q429" i="1" s="1"/>
  <c r="S429" i="1" s="1"/>
  <c r="AM428" i="1"/>
  <c r="AL428" i="1"/>
  <c r="Q428" i="1" a="1"/>
  <c r="Q428" i="1" s="1"/>
  <c r="S428" i="1" s="1"/>
  <c r="AM427" i="1"/>
  <c r="AL427" i="1"/>
  <c r="Q427" i="1" a="1"/>
  <c r="Q427" i="1" s="1"/>
  <c r="S427" i="1" s="1"/>
  <c r="AM426" i="1"/>
  <c r="AL426" i="1"/>
  <c r="Q426" i="1" a="1"/>
  <c r="Q426" i="1" s="1"/>
  <c r="S426" i="1" s="1"/>
  <c r="AM425" i="1"/>
  <c r="AL425" i="1"/>
  <c r="Q425" i="1" a="1"/>
  <c r="Q425" i="1" s="1"/>
  <c r="S425" i="1" s="1"/>
  <c r="AM424" i="1"/>
  <c r="AL424" i="1"/>
  <c r="Q424" i="1" a="1"/>
  <c r="Q424" i="1" s="1"/>
  <c r="S424" i="1" s="1"/>
  <c r="AM423" i="1"/>
  <c r="AL423" i="1"/>
  <c r="Q423" i="1" a="1"/>
  <c r="Q423" i="1" s="1"/>
  <c r="S423" i="1" s="1"/>
  <c r="AM422" i="1"/>
  <c r="AL422" i="1"/>
  <c r="Q422" i="1" a="1"/>
  <c r="Q422" i="1" s="1"/>
  <c r="S422" i="1" s="1"/>
  <c r="AM421" i="1"/>
  <c r="AL421" i="1"/>
  <c r="Q421" i="1" a="1"/>
  <c r="Q421" i="1" s="1"/>
  <c r="S421" i="1" s="1"/>
  <c r="AM420" i="1"/>
  <c r="AL420" i="1"/>
  <c r="Q420" i="1" a="1"/>
  <c r="Q420" i="1" s="1"/>
  <c r="S420" i="1" s="1"/>
  <c r="AM419" i="1"/>
  <c r="AL419" i="1"/>
  <c r="Q419" i="1" a="1"/>
  <c r="Q419" i="1" s="1"/>
  <c r="S419" i="1" s="1"/>
  <c r="AM418" i="1"/>
  <c r="AL418" i="1"/>
  <c r="Q418" i="1" a="1"/>
  <c r="Q418" i="1" s="1"/>
  <c r="S418" i="1" s="1"/>
  <c r="AM417" i="1"/>
  <c r="AL417" i="1"/>
  <c r="Q417" i="1" a="1"/>
  <c r="Q417" i="1" s="1"/>
  <c r="S417" i="1" s="1"/>
  <c r="AM416" i="1"/>
  <c r="AL416" i="1"/>
  <c r="Q416" i="1" a="1"/>
  <c r="Q416" i="1" s="1"/>
  <c r="S416" i="1" s="1"/>
  <c r="AM415" i="1"/>
  <c r="AL415" i="1"/>
  <c r="Q415" i="1" a="1"/>
  <c r="Q415" i="1" s="1"/>
  <c r="S415" i="1" s="1"/>
  <c r="AM414" i="1"/>
  <c r="AL414" i="1"/>
  <c r="Q414" i="1" a="1"/>
  <c r="Q414" i="1" s="1"/>
  <c r="S414" i="1" s="1"/>
  <c r="AM413" i="1"/>
  <c r="AL413" i="1"/>
  <c r="Q413" i="1" a="1"/>
  <c r="Q413" i="1" s="1"/>
  <c r="S413" i="1" s="1"/>
  <c r="AM412" i="1"/>
  <c r="AL412" i="1"/>
  <c r="Q412" i="1" a="1"/>
  <c r="Q412" i="1" s="1"/>
  <c r="S412" i="1" s="1"/>
  <c r="AM411" i="1"/>
  <c r="AL411" i="1"/>
  <c r="Q411" i="1" a="1"/>
  <c r="Q411" i="1" s="1"/>
  <c r="S411" i="1" s="1"/>
  <c r="AM410" i="1"/>
  <c r="AL410" i="1"/>
  <c r="Q410" i="1" a="1"/>
  <c r="Q410" i="1" s="1"/>
  <c r="S410" i="1" s="1"/>
  <c r="AM409" i="1"/>
  <c r="AL409" i="1"/>
  <c r="Q409" i="1" a="1"/>
  <c r="Q409" i="1" s="1"/>
  <c r="S409" i="1" s="1"/>
  <c r="AM408" i="1"/>
  <c r="AL408" i="1"/>
  <c r="Q408" i="1" a="1"/>
  <c r="Q408" i="1" s="1"/>
  <c r="S408" i="1" s="1"/>
  <c r="AM407" i="1"/>
  <c r="AL407" i="1"/>
  <c r="Q407" i="1" a="1"/>
  <c r="Q407" i="1" s="1"/>
  <c r="S407" i="1" s="1"/>
  <c r="AM406" i="1"/>
  <c r="AL406" i="1"/>
  <c r="Q406" i="1" a="1"/>
  <c r="Q406" i="1" s="1"/>
  <c r="S406" i="1" s="1"/>
  <c r="AM405" i="1"/>
  <c r="AL405" i="1"/>
  <c r="Q405" i="1" a="1"/>
  <c r="Q405" i="1" s="1"/>
  <c r="S405" i="1" s="1"/>
  <c r="AM404" i="1"/>
  <c r="AL404" i="1"/>
  <c r="Q404" i="1" a="1"/>
  <c r="Q404" i="1" s="1"/>
  <c r="S404" i="1" s="1"/>
  <c r="AM403" i="1"/>
  <c r="AL403" i="1"/>
  <c r="Q403" i="1" a="1"/>
  <c r="Q403" i="1" s="1"/>
  <c r="S403" i="1" s="1"/>
  <c r="AM402" i="1"/>
  <c r="AL402" i="1"/>
  <c r="Q402" i="1" a="1"/>
  <c r="Q402" i="1" s="1"/>
  <c r="S402" i="1" s="1"/>
  <c r="AM401" i="1"/>
  <c r="AL401" i="1"/>
  <c r="Q401" i="1" a="1"/>
  <c r="Q401" i="1" s="1"/>
  <c r="S401" i="1" s="1"/>
  <c r="AM400" i="1"/>
  <c r="AL400" i="1"/>
  <c r="Q400" i="1" a="1"/>
  <c r="Q400" i="1" s="1"/>
  <c r="S400" i="1" s="1"/>
  <c r="AM399" i="1"/>
  <c r="AL399" i="1"/>
  <c r="Q399" i="1" a="1"/>
  <c r="Q399" i="1" s="1"/>
  <c r="S399" i="1" s="1"/>
  <c r="AM398" i="1"/>
  <c r="AL398" i="1"/>
  <c r="Q398" i="1" a="1"/>
  <c r="Q398" i="1" s="1"/>
  <c r="S398" i="1" s="1"/>
  <c r="AM397" i="1"/>
  <c r="AL397" i="1"/>
  <c r="Q397" i="1" a="1"/>
  <c r="Q397" i="1" s="1"/>
  <c r="S397" i="1" s="1"/>
  <c r="AM396" i="1"/>
  <c r="AL396" i="1"/>
  <c r="Q396" i="1" a="1"/>
  <c r="Q396" i="1" s="1"/>
  <c r="S396" i="1" s="1"/>
  <c r="AM395" i="1"/>
  <c r="AL395" i="1"/>
  <c r="Q395" i="1" a="1"/>
  <c r="Q395" i="1" s="1"/>
  <c r="S395" i="1" s="1"/>
  <c r="AM394" i="1"/>
  <c r="AL394" i="1"/>
  <c r="Q394" i="1" a="1"/>
  <c r="Q394" i="1" s="1"/>
  <c r="S394" i="1" s="1"/>
  <c r="AM393" i="1"/>
  <c r="AL393" i="1"/>
  <c r="Q393" i="1" a="1"/>
  <c r="Q393" i="1" s="1"/>
  <c r="S393" i="1" s="1"/>
  <c r="AM392" i="1"/>
  <c r="AL392" i="1"/>
  <c r="Q392" i="1" a="1"/>
  <c r="Q392" i="1" s="1"/>
  <c r="S392" i="1" s="1"/>
  <c r="AM391" i="1"/>
  <c r="AL391" i="1"/>
  <c r="Q391" i="1" a="1"/>
  <c r="Q391" i="1" s="1"/>
  <c r="S391" i="1" s="1"/>
  <c r="AM390" i="1"/>
  <c r="AL390" i="1"/>
  <c r="Q390" i="1" a="1"/>
  <c r="Q390" i="1" s="1"/>
  <c r="S390" i="1" s="1"/>
  <c r="AM389" i="1"/>
  <c r="AL389" i="1"/>
  <c r="Q389" i="1" a="1"/>
  <c r="Q389" i="1" s="1"/>
  <c r="S389" i="1" s="1"/>
  <c r="AM388" i="1"/>
  <c r="AL388" i="1"/>
  <c r="Q388" i="1" a="1"/>
  <c r="Q388" i="1" s="1"/>
  <c r="S388" i="1" s="1"/>
  <c r="AM387" i="1"/>
  <c r="AL387" i="1"/>
  <c r="Q387" i="1" a="1"/>
  <c r="Q387" i="1" s="1"/>
  <c r="S387" i="1" s="1"/>
  <c r="AM386" i="1"/>
  <c r="AL386" i="1"/>
  <c r="Q386" i="1" a="1"/>
  <c r="Q386" i="1" s="1"/>
  <c r="S386" i="1" s="1"/>
  <c r="AM385" i="1"/>
  <c r="AL385" i="1"/>
  <c r="Q385" i="1" a="1"/>
  <c r="Q385" i="1" s="1"/>
  <c r="S385" i="1" s="1"/>
  <c r="AM384" i="1"/>
  <c r="AL384" i="1"/>
  <c r="Q384" i="1" a="1"/>
  <c r="Q384" i="1" s="1"/>
  <c r="S384" i="1" s="1"/>
  <c r="AM383" i="1"/>
  <c r="AL383" i="1"/>
  <c r="Q383" i="1" a="1"/>
  <c r="Q383" i="1" s="1"/>
  <c r="S383" i="1" s="1"/>
  <c r="AM382" i="1"/>
  <c r="AL382" i="1"/>
  <c r="Q382" i="1" a="1"/>
  <c r="Q382" i="1" s="1"/>
  <c r="S382" i="1" s="1"/>
  <c r="AM381" i="1"/>
  <c r="AL381" i="1"/>
  <c r="Q381" i="1" a="1"/>
  <c r="Q381" i="1" s="1"/>
  <c r="S381" i="1" s="1"/>
  <c r="AM380" i="1"/>
  <c r="AL380" i="1"/>
  <c r="Q380" i="1" a="1"/>
  <c r="Q380" i="1" s="1"/>
  <c r="S380" i="1" s="1"/>
  <c r="AM379" i="1"/>
  <c r="AL379" i="1"/>
  <c r="Q379" i="1" a="1"/>
  <c r="Q379" i="1" s="1"/>
  <c r="S379" i="1" s="1"/>
  <c r="AM378" i="1"/>
  <c r="AL378" i="1"/>
  <c r="Q378" i="1" a="1"/>
  <c r="Q378" i="1" s="1"/>
  <c r="S378" i="1" s="1"/>
  <c r="AM377" i="1"/>
  <c r="AL377" i="1"/>
  <c r="Q377" i="1" a="1"/>
  <c r="Q377" i="1" s="1"/>
  <c r="S377" i="1" s="1"/>
  <c r="AM376" i="1"/>
  <c r="AL376" i="1"/>
  <c r="Q376" i="1" a="1"/>
  <c r="Q376" i="1" s="1"/>
  <c r="S376" i="1" s="1"/>
  <c r="AM375" i="1"/>
  <c r="AL375" i="1"/>
  <c r="Q375" i="1" a="1"/>
  <c r="Q375" i="1" s="1"/>
  <c r="S375" i="1" s="1"/>
  <c r="AM374" i="1"/>
  <c r="AL374" i="1"/>
  <c r="Q374" i="1" a="1"/>
  <c r="Q374" i="1" s="1"/>
  <c r="S374" i="1" s="1"/>
  <c r="AM373" i="1"/>
  <c r="AL373" i="1"/>
  <c r="Q373" i="1" a="1"/>
  <c r="Q373" i="1" s="1"/>
  <c r="S373" i="1" s="1"/>
  <c r="AM372" i="1"/>
  <c r="AL372" i="1"/>
  <c r="Q372" i="1" a="1"/>
  <c r="Q372" i="1" s="1"/>
  <c r="S372" i="1" s="1"/>
  <c r="AM371" i="1"/>
  <c r="AL371" i="1"/>
  <c r="Q371" i="1" a="1"/>
  <c r="Q371" i="1" s="1"/>
  <c r="S371" i="1" s="1"/>
  <c r="AM370" i="1"/>
  <c r="AL370" i="1"/>
  <c r="Q370" i="1" a="1"/>
  <c r="Q370" i="1" s="1"/>
  <c r="S370" i="1" s="1"/>
  <c r="AM369" i="1"/>
  <c r="AL369" i="1"/>
  <c r="Q369" i="1" a="1"/>
  <c r="Q369" i="1" s="1"/>
  <c r="S369" i="1" s="1"/>
  <c r="AM368" i="1"/>
  <c r="AL368" i="1"/>
  <c r="Q368" i="1" a="1"/>
  <c r="Q368" i="1" s="1"/>
  <c r="S368" i="1" s="1"/>
  <c r="AM367" i="1"/>
  <c r="AL367" i="1"/>
  <c r="Q367" i="1" a="1"/>
  <c r="Q367" i="1" s="1"/>
  <c r="S367" i="1" s="1"/>
  <c r="AM366" i="1"/>
  <c r="AL366" i="1"/>
  <c r="Q366" i="1" a="1"/>
  <c r="Q366" i="1" s="1"/>
  <c r="S366" i="1" s="1"/>
  <c r="AM365" i="1"/>
  <c r="AL365" i="1"/>
  <c r="Q365" i="1" a="1"/>
  <c r="Q365" i="1" s="1"/>
  <c r="S365" i="1" s="1"/>
  <c r="AM364" i="1"/>
  <c r="AL364" i="1"/>
  <c r="Q364" i="1" a="1"/>
  <c r="Q364" i="1" s="1"/>
  <c r="S364" i="1" s="1"/>
  <c r="AM363" i="1"/>
  <c r="AL363" i="1"/>
  <c r="Q363" i="1" a="1"/>
  <c r="Q363" i="1" s="1"/>
  <c r="S363" i="1" s="1"/>
  <c r="AM362" i="1"/>
  <c r="AL362" i="1"/>
  <c r="Q362" i="1" a="1"/>
  <c r="Q362" i="1" s="1"/>
  <c r="S362" i="1" s="1"/>
  <c r="AM361" i="1"/>
  <c r="AL361" i="1"/>
  <c r="Q361" i="1" a="1"/>
  <c r="Q361" i="1" s="1"/>
  <c r="S361" i="1" s="1"/>
  <c r="AM360" i="1"/>
  <c r="AL360" i="1"/>
  <c r="Q360" i="1" a="1"/>
  <c r="Q360" i="1" s="1"/>
  <c r="S360" i="1" s="1"/>
  <c r="AM359" i="1"/>
  <c r="AL359" i="1"/>
  <c r="Q359" i="1" a="1"/>
  <c r="Q359" i="1" s="1"/>
  <c r="S359" i="1" s="1"/>
  <c r="AM358" i="1"/>
  <c r="AL358" i="1"/>
  <c r="Q358" i="1" a="1"/>
  <c r="Q358" i="1" s="1"/>
  <c r="S358" i="1" s="1"/>
  <c r="AM357" i="1"/>
  <c r="AL357" i="1"/>
  <c r="Q357" i="1" a="1"/>
  <c r="Q357" i="1" s="1"/>
  <c r="S357" i="1" s="1"/>
  <c r="AM356" i="1"/>
  <c r="AL356" i="1"/>
  <c r="Q356" i="1" a="1"/>
  <c r="Q356" i="1" s="1"/>
  <c r="S356" i="1" s="1"/>
  <c r="AM355" i="1"/>
  <c r="AL355" i="1"/>
  <c r="Q355" i="1" a="1"/>
  <c r="Q355" i="1" s="1"/>
  <c r="S355" i="1" s="1"/>
  <c r="AM354" i="1"/>
  <c r="AL354" i="1"/>
  <c r="Q354" i="1" a="1"/>
  <c r="Q354" i="1" s="1"/>
  <c r="S354" i="1" s="1"/>
  <c r="AM353" i="1"/>
  <c r="AL353" i="1"/>
  <c r="Q353" i="1" a="1"/>
  <c r="Q353" i="1" s="1"/>
  <c r="S353" i="1" s="1"/>
  <c r="AM352" i="1"/>
  <c r="AL352" i="1"/>
  <c r="Q352" i="1" a="1"/>
  <c r="Q352" i="1" s="1"/>
  <c r="S352" i="1" s="1"/>
  <c r="AM351" i="1"/>
  <c r="AL351" i="1"/>
  <c r="Q351" i="1" a="1"/>
  <c r="Q351" i="1" s="1"/>
  <c r="S351" i="1" s="1"/>
  <c r="AM350" i="1"/>
  <c r="AL350" i="1"/>
  <c r="Q350" i="1" a="1"/>
  <c r="Q350" i="1" s="1"/>
  <c r="S350" i="1" s="1"/>
  <c r="AM349" i="1"/>
  <c r="AL349" i="1"/>
  <c r="Q349" i="1" a="1"/>
  <c r="Q349" i="1" s="1"/>
  <c r="S349" i="1" s="1"/>
  <c r="AM348" i="1"/>
  <c r="AL348" i="1"/>
  <c r="Q348" i="1" a="1"/>
  <c r="Q348" i="1" s="1"/>
  <c r="S348" i="1" s="1"/>
  <c r="AM347" i="1"/>
  <c r="AL347" i="1"/>
  <c r="Q347" i="1" a="1"/>
  <c r="Q347" i="1" s="1"/>
  <c r="S347" i="1" s="1"/>
  <c r="AM346" i="1"/>
  <c r="AL346" i="1"/>
  <c r="Q346" i="1" a="1"/>
  <c r="Q346" i="1" s="1"/>
  <c r="S346" i="1" s="1"/>
  <c r="AM345" i="1"/>
  <c r="AL345" i="1"/>
  <c r="Q345" i="1" a="1"/>
  <c r="Q345" i="1" s="1"/>
  <c r="S345" i="1" s="1"/>
  <c r="AM344" i="1"/>
  <c r="AL344" i="1"/>
  <c r="Q344" i="1" a="1"/>
  <c r="Q344" i="1" s="1"/>
  <c r="S344" i="1" s="1"/>
  <c r="AM343" i="1"/>
  <c r="AL343" i="1"/>
  <c r="Q343" i="1" a="1"/>
  <c r="Q343" i="1" s="1"/>
  <c r="S343" i="1" s="1"/>
  <c r="AM342" i="1"/>
  <c r="AL342" i="1"/>
  <c r="Q342" i="1" a="1"/>
  <c r="Q342" i="1" s="1"/>
  <c r="S342" i="1" s="1"/>
  <c r="AM341" i="1"/>
  <c r="AL341" i="1"/>
  <c r="Q341" i="1" a="1"/>
  <c r="Q341" i="1" s="1"/>
  <c r="S341" i="1" s="1"/>
  <c r="AM340" i="1"/>
  <c r="AL340" i="1"/>
  <c r="Q340" i="1" a="1"/>
  <c r="Q340" i="1" s="1"/>
  <c r="S340" i="1" s="1"/>
  <c r="AM339" i="1"/>
  <c r="AL339" i="1"/>
  <c r="Q339" i="1" a="1"/>
  <c r="Q339" i="1" s="1"/>
  <c r="S339" i="1" s="1"/>
  <c r="AM338" i="1"/>
  <c r="AL338" i="1"/>
  <c r="Q338" i="1" a="1"/>
  <c r="Q338" i="1" s="1"/>
  <c r="S338" i="1" s="1"/>
  <c r="AM337" i="1"/>
  <c r="AL337" i="1"/>
  <c r="Q337" i="1" a="1"/>
  <c r="Q337" i="1" s="1"/>
  <c r="S337" i="1" s="1"/>
  <c r="AM336" i="1"/>
  <c r="AL336" i="1"/>
  <c r="Q336" i="1" a="1"/>
  <c r="Q336" i="1" s="1"/>
  <c r="S336" i="1" s="1"/>
  <c r="AM335" i="1"/>
  <c r="AL335" i="1"/>
  <c r="Q335" i="1" a="1"/>
  <c r="Q335" i="1" s="1"/>
  <c r="S335" i="1" s="1"/>
  <c r="AM334" i="1"/>
  <c r="AL334" i="1"/>
  <c r="Q334" i="1" a="1"/>
  <c r="Q334" i="1" s="1"/>
  <c r="S334" i="1" s="1"/>
  <c r="AM333" i="1"/>
  <c r="AL333" i="1"/>
  <c r="Q333" i="1" a="1"/>
  <c r="Q333" i="1" s="1"/>
  <c r="S333" i="1" s="1"/>
  <c r="AM332" i="1"/>
  <c r="AL332" i="1"/>
  <c r="Q332" i="1" a="1"/>
  <c r="Q332" i="1" s="1"/>
  <c r="S332" i="1" s="1"/>
  <c r="AM331" i="1"/>
  <c r="AL331" i="1"/>
  <c r="Q331" i="1" a="1"/>
  <c r="Q331" i="1" s="1"/>
  <c r="S331" i="1" s="1"/>
  <c r="AM330" i="1"/>
  <c r="AL330" i="1"/>
  <c r="Q330" i="1" a="1"/>
  <c r="Q330" i="1" s="1"/>
  <c r="S330" i="1" s="1"/>
  <c r="AM329" i="1"/>
  <c r="AL329" i="1"/>
  <c r="Q329" i="1" a="1"/>
  <c r="Q329" i="1" s="1"/>
  <c r="S329" i="1" s="1"/>
  <c r="AM328" i="1"/>
  <c r="AL328" i="1"/>
  <c r="Q328" i="1" a="1"/>
  <c r="Q328" i="1" s="1"/>
  <c r="S328" i="1" s="1"/>
  <c r="AM327" i="1"/>
  <c r="AL327" i="1"/>
  <c r="Q327" i="1" a="1"/>
  <c r="Q327" i="1" s="1"/>
  <c r="S327" i="1" s="1"/>
  <c r="AM326" i="1"/>
  <c r="AL326" i="1"/>
  <c r="Q326" i="1" a="1"/>
  <c r="Q326" i="1" s="1"/>
  <c r="S326" i="1" s="1"/>
  <c r="AM325" i="1"/>
  <c r="AL325" i="1"/>
  <c r="Q325" i="1" a="1"/>
  <c r="Q325" i="1" s="1"/>
  <c r="S325" i="1" s="1"/>
  <c r="AM324" i="1"/>
  <c r="AL324" i="1"/>
  <c r="Q324" i="1" a="1"/>
  <c r="Q324" i="1" s="1"/>
  <c r="S324" i="1" s="1"/>
  <c r="AM323" i="1"/>
  <c r="AL323" i="1"/>
  <c r="Q323" i="1" a="1"/>
  <c r="Q323" i="1" s="1"/>
  <c r="S323" i="1" s="1"/>
  <c r="AM322" i="1"/>
  <c r="AL322" i="1"/>
  <c r="Q322" i="1" a="1"/>
  <c r="Q322" i="1" s="1"/>
  <c r="S322" i="1" s="1"/>
  <c r="AM321" i="1"/>
  <c r="AL321" i="1"/>
  <c r="Q321" i="1" a="1"/>
  <c r="Q321" i="1" s="1"/>
  <c r="S321" i="1" s="1"/>
  <c r="AM320" i="1"/>
  <c r="AL320" i="1"/>
  <c r="Q320" i="1" a="1"/>
  <c r="Q320" i="1" s="1"/>
  <c r="S320" i="1" s="1"/>
  <c r="AM319" i="1"/>
  <c r="AL319" i="1"/>
  <c r="Q319" i="1" a="1"/>
  <c r="Q319" i="1" s="1"/>
  <c r="S319" i="1" s="1"/>
  <c r="AM318" i="1"/>
  <c r="AL318" i="1"/>
  <c r="Q318" i="1" a="1"/>
  <c r="Q318" i="1" s="1"/>
  <c r="S318" i="1" s="1"/>
  <c r="AM317" i="1"/>
  <c r="AL317" i="1"/>
  <c r="Q317" i="1" a="1"/>
  <c r="Q317" i="1" s="1"/>
  <c r="S317" i="1" s="1"/>
  <c r="AM316" i="1"/>
  <c r="AL316" i="1"/>
  <c r="Q316" i="1" a="1"/>
  <c r="Q316" i="1" s="1"/>
  <c r="S316" i="1" s="1"/>
  <c r="AM315" i="1"/>
  <c r="AL315" i="1"/>
  <c r="Q315" i="1" a="1"/>
  <c r="Q315" i="1" s="1"/>
  <c r="S315" i="1" s="1"/>
  <c r="AM314" i="1"/>
  <c r="AL314" i="1"/>
  <c r="Q314" i="1" a="1"/>
  <c r="Q314" i="1" s="1"/>
  <c r="S314" i="1" s="1"/>
  <c r="AM313" i="1"/>
  <c r="AL313" i="1"/>
  <c r="Q313" i="1" a="1"/>
  <c r="Q313" i="1" s="1"/>
  <c r="S313" i="1" s="1"/>
  <c r="AM312" i="1"/>
  <c r="AL312" i="1"/>
  <c r="Q312" i="1" a="1"/>
  <c r="Q312" i="1" s="1"/>
  <c r="S312" i="1" s="1"/>
  <c r="AM311" i="1"/>
  <c r="AL311" i="1"/>
  <c r="Q311" i="1" a="1"/>
  <c r="Q311" i="1" s="1"/>
  <c r="S311" i="1" s="1"/>
  <c r="AM310" i="1"/>
  <c r="AL310" i="1"/>
  <c r="Q310" i="1" a="1"/>
  <c r="Q310" i="1" s="1"/>
  <c r="S310" i="1" s="1"/>
  <c r="AM309" i="1"/>
  <c r="AL309" i="1"/>
  <c r="Q309" i="1" a="1"/>
  <c r="Q309" i="1" s="1"/>
  <c r="S309" i="1" s="1"/>
  <c r="AM308" i="1"/>
  <c r="AL308" i="1"/>
  <c r="Q308" i="1" a="1"/>
  <c r="Q308" i="1" s="1"/>
  <c r="S308" i="1" s="1"/>
  <c r="AM307" i="1"/>
  <c r="AL307" i="1"/>
  <c r="Q307" i="1" a="1"/>
  <c r="Q307" i="1" s="1"/>
  <c r="S307" i="1" s="1"/>
  <c r="AM306" i="1"/>
  <c r="AL306" i="1"/>
  <c r="Q306" i="1" a="1"/>
  <c r="Q306" i="1" s="1"/>
  <c r="S306" i="1" s="1"/>
  <c r="AM305" i="1"/>
  <c r="AL305" i="1"/>
  <c r="Q305" i="1" a="1"/>
  <c r="Q305" i="1" s="1"/>
  <c r="S305" i="1" s="1"/>
  <c r="AM304" i="1"/>
  <c r="AL304" i="1"/>
  <c r="Q304" i="1" a="1"/>
  <c r="Q304" i="1" s="1"/>
  <c r="S304" i="1" s="1"/>
  <c r="AM303" i="1"/>
  <c r="AL303" i="1"/>
  <c r="Q303" i="1" a="1"/>
  <c r="Q303" i="1" s="1"/>
  <c r="S303" i="1" s="1"/>
  <c r="AM302" i="1"/>
  <c r="AL302" i="1"/>
  <c r="Q302" i="1" a="1"/>
  <c r="Q302" i="1" s="1"/>
  <c r="S302" i="1" s="1"/>
  <c r="AM301" i="1"/>
  <c r="AL301" i="1"/>
  <c r="Q301" i="1" a="1"/>
  <c r="Q301" i="1" s="1"/>
  <c r="S301" i="1" s="1"/>
  <c r="AM300" i="1"/>
  <c r="AL300" i="1"/>
  <c r="Q300" i="1" a="1"/>
  <c r="Q300" i="1" s="1"/>
  <c r="S300" i="1" s="1"/>
  <c r="AM299" i="1"/>
  <c r="AL299" i="1"/>
  <c r="Q299" i="1" a="1"/>
  <c r="Q299" i="1" s="1"/>
  <c r="S299" i="1" s="1"/>
  <c r="AM298" i="1"/>
  <c r="AL298" i="1"/>
  <c r="Q298" i="1" a="1"/>
  <c r="Q298" i="1" s="1"/>
  <c r="S298" i="1" s="1"/>
  <c r="AM297" i="1"/>
  <c r="AL297" i="1"/>
  <c r="Q297" i="1" a="1"/>
  <c r="Q297" i="1" s="1"/>
  <c r="S297" i="1" s="1"/>
  <c r="AM296" i="1"/>
  <c r="AL296" i="1"/>
  <c r="Q296" i="1" a="1"/>
  <c r="Q296" i="1" s="1"/>
  <c r="S296" i="1" s="1"/>
  <c r="AM295" i="1"/>
  <c r="AL295" i="1"/>
  <c r="Q295" i="1" a="1"/>
  <c r="Q295" i="1" s="1"/>
  <c r="S295" i="1" s="1"/>
  <c r="AM294" i="1"/>
  <c r="AL294" i="1"/>
  <c r="Q294" i="1" a="1"/>
  <c r="Q294" i="1" s="1"/>
  <c r="S294" i="1" s="1"/>
  <c r="AM293" i="1"/>
  <c r="AL293" i="1"/>
  <c r="Q293" i="1" a="1"/>
  <c r="Q293" i="1" s="1"/>
  <c r="S293" i="1" s="1"/>
  <c r="AM292" i="1"/>
  <c r="AL292" i="1"/>
  <c r="Q292" i="1" a="1"/>
  <c r="Q292" i="1" s="1"/>
  <c r="S292" i="1" s="1"/>
  <c r="AM291" i="1"/>
  <c r="AL291" i="1"/>
  <c r="Q291" i="1" a="1"/>
  <c r="Q291" i="1" s="1"/>
  <c r="S291" i="1" s="1"/>
  <c r="AM290" i="1"/>
  <c r="AL290" i="1"/>
  <c r="Q290" i="1" a="1"/>
  <c r="Q290" i="1" s="1"/>
  <c r="S290" i="1" s="1"/>
  <c r="AM289" i="1"/>
  <c r="AL289" i="1"/>
  <c r="Q289" i="1" a="1"/>
  <c r="Q289" i="1" s="1"/>
  <c r="S289" i="1" s="1"/>
  <c r="AM288" i="1"/>
  <c r="AL288" i="1"/>
  <c r="Q288" i="1" a="1"/>
  <c r="Q288" i="1" s="1"/>
  <c r="S288" i="1" s="1"/>
  <c r="AM287" i="1"/>
  <c r="AL287" i="1"/>
  <c r="Q287" i="1" a="1"/>
  <c r="Q287" i="1" s="1"/>
  <c r="S287" i="1" s="1"/>
  <c r="AM286" i="1"/>
  <c r="AL286" i="1"/>
  <c r="Q286" i="1" a="1"/>
  <c r="Q286" i="1" s="1"/>
  <c r="S286" i="1" s="1"/>
  <c r="AM285" i="1"/>
  <c r="AL285" i="1"/>
  <c r="Q285" i="1" a="1"/>
  <c r="Q285" i="1" s="1"/>
  <c r="S285" i="1" s="1"/>
  <c r="AM284" i="1"/>
  <c r="AL284" i="1"/>
  <c r="Q284" i="1" a="1"/>
  <c r="Q284" i="1" s="1"/>
  <c r="S284" i="1" s="1"/>
  <c r="AM283" i="1"/>
  <c r="AL283" i="1"/>
  <c r="Q283" i="1" a="1"/>
  <c r="Q283" i="1" s="1"/>
  <c r="S283" i="1" s="1"/>
  <c r="AM282" i="1"/>
  <c r="AL282" i="1"/>
  <c r="Q282" i="1" a="1"/>
  <c r="Q282" i="1" s="1"/>
  <c r="S282" i="1" s="1"/>
  <c r="AM281" i="1"/>
  <c r="AL281" i="1"/>
  <c r="Q281" i="1" a="1"/>
  <c r="Q281" i="1" s="1"/>
  <c r="S281" i="1" s="1"/>
  <c r="AM280" i="1"/>
  <c r="AL280" i="1"/>
  <c r="Q280" i="1" a="1"/>
  <c r="Q280" i="1" s="1"/>
  <c r="S280" i="1" s="1"/>
  <c r="AM279" i="1"/>
  <c r="AL279" i="1"/>
  <c r="Q279" i="1" a="1"/>
  <c r="Q279" i="1" s="1"/>
  <c r="S279" i="1" s="1"/>
  <c r="AM278" i="1"/>
  <c r="AL278" i="1"/>
  <c r="Q278" i="1" a="1"/>
  <c r="Q278" i="1" s="1"/>
  <c r="S278" i="1" s="1"/>
  <c r="AM277" i="1"/>
  <c r="AL277" i="1"/>
  <c r="Q277" i="1" a="1"/>
  <c r="Q277" i="1" s="1"/>
  <c r="S277" i="1" s="1"/>
  <c r="AM276" i="1"/>
  <c r="AL276" i="1"/>
  <c r="Q276" i="1" a="1"/>
  <c r="Q276" i="1" s="1"/>
  <c r="S276" i="1" s="1"/>
  <c r="AM275" i="1"/>
  <c r="AL275" i="1"/>
  <c r="Q275" i="1" a="1"/>
  <c r="Q275" i="1" s="1"/>
  <c r="S275" i="1" s="1"/>
  <c r="AM274" i="1"/>
  <c r="AL274" i="1"/>
  <c r="Q274" i="1" a="1"/>
  <c r="Q274" i="1" s="1"/>
  <c r="S274" i="1" s="1"/>
  <c r="AM273" i="1"/>
  <c r="AL273" i="1"/>
  <c r="Q273" i="1" a="1"/>
  <c r="Q273" i="1" s="1"/>
  <c r="S273" i="1" s="1"/>
  <c r="AM272" i="1"/>
  <c r="AL272" i="1"/>
  <c r="Q272" i="1" a="1"/>
  <c r="Q272" i="1" s="1"/>
  <c r="S272" i="1" s="1"/>
  <c r="AM271" i="1"/>
  <c r="AL271" i="1"/>
  <c r="Q271" i="1" a="1"/>
  <c r="Q271" i="1" s="1"/>
  <c r="S271" i="1" s="1"/>
  <c r="AM270" i="1"/>
  <c r="AL270" i="1"/>
  <c r="Q270" i="1" a="1"/>
  <c r="Q270" i="1" s="1"/>
  <c r="S270" i="1" s="1"/>
  <c r="AM269" i="1"/>
  <c r="AL269" i="1"/>
  <c r="Q269" i="1" a="1"/>
  <c r="Q269" i="1" s="1"/>
  <c r="S269" i="1" s="1"/>
  <c r="AM268" i="1"/>
  <c r="AL268" i="1"/>
  <c r="Q268" i="1" a="1"/>
  <c r="Q268" i="1" s="1"/>
  <c r="S268" i="1" s="1"/>
  <c r="AM267" i="1"/>
  <c r="AL267" i="1"/>
  <c r="Q267" i="1" a="1"/>
  <c r="Q267" i="1" s="1"/>
  <c r="S267" i="1" s="1"/>
  <c r="AM266" i="1"/>
  <c r="AL266" i="1"/>
  <c r="Q266" i="1" a="1"/>
  <c r="Q266" i="1" s="1"/>
  <c r="S266" i="1" s="1"/>
  <c r="AM265" i="1"/>
  <c r="AL265" i="1"/>
  <c r="Q265" i="1" a="1"/>
  <c r="Q265" i="1" s="1"/>
  <c r="S265" i="1" s="1"/>
  <c r="AM264" i="1"/>
  <c r="AL264" i="1"/>
  <c r="Q264" i="1" a="1"/>
  <c r="Q264" i="1" s="1"/>
  <c r="S264" i="1" s="1"/>
  <c r="AM263" i="1"/>
  <c r="AL263" i="1"/>
  <c r="Q263" i="1" a="1"/>
  <c r="Q263" i="1" s="1"/>
  <c r="S263" i="1" s="1"/>
  <c r="AM262" i="1"/>
  <c r="AL262" i="1"/>
  <c r="Q262" i="1" a="1"/>
  <c r="Q262" i="1" s="1"/>
  <c r="S262" i="1" s="1"/>
  <c r="AM261" i="1"/>
  <c r="AL261" i="1"/>
  <c r="Q261" i="1" a="1"/>
  <c r="Q261" i="1" s="1"/>
  <c r="S261" i="1" s="1"/>
  <c r="AM260" i="1"/>
  <c r="AL260" i="1"/>
  <c r="Q260" i="1" a="1"/>
  <c r="Q260" i="1" s="1"/>
  <c r="S260" i="1" s="1"/>
  <c r="AM259" i="1"/>
  <c r="AL259" i="1"/>
  <c r="Q259" i="1" a="1"/>
  <c r="Q259" i="1" s="1"/>
  <c r="S259" i="1" s="1"/>
  <c r="AM258" i="1"/>
  <c r="AL258" i="1"/>
  <c r="Q258" i="1" a="1"/>
  <c r="Q258" i="1" s="1"/>
  <c r="S258" i="1" s="1"/>
  <c r="AM257" i="1"/>
  <c r="AL257" i="1"/>
  <c r="Q257" i="1" a="1"/>
  <c r="Q257" i="1" s="1"/>
  <c r="S257" i="1" s="1"/>
  <c r="AM256" i="1"/>
  <c r="AL256" i="1"/>
  <c r="Q256" i="1" a="1"/>
  <c r="Q256" i="1" s="1"/>
  <c r="S256" i="1" s="1"/>
  <c r="AM255" i="1"/>
  <c r="AL255" i="1"/>
  <c r="Q255" i="1" a="1"/>
  <c r="Q255" i="1" s="1"/>
  <c r="S255" i="1" s="1"/>
  <c r="AM254" i="1"/>
  <c r="AL254" i="1"/>
  <c r="Q254" i="1" a="1"/>
  <c r="Q254" i="1" s="1"/>
  <c r="S254" i="1" s="1"/>
  <c r="AM253" i="1"/>
  <c r="AL253" i="1"/>
  <c r="Q253" i="1" a="1"/>
  <c r="Q253" i="1" s="1"/>
  <c r="S253" i="1" s="1"/>
  <c r="AM252" i="1"/>
  <c r="AL252" i="1"/>
  <c r="Q252" i="1" a="1"/>
  <c r="Q252" i="1" s="1"/>
  <c r="S252" i="1" s="1"/>
  <c r="AM251" i="1"/>
  <c r="AL251" i="1"/>
  <c r="Q251" i="1" a="1"/>
  <c r="Q251" i="1" s="1"/>
  <c r="S251" i="1" s="1"/>
  <c r="AM250" i="1"/>
  <c r="AL250" i="1"/>
  <c r="Q250" i="1" a="1"/>
  <c r="Q250" i="1" s="1"/>
  <c r="S250" i="1" s="1"/>
  <c r="AM249" i="1"/>
  <c r="AL249" i="1"/>
  <c r="Q249" i="1" a="1"/>
  <c r="Q249" i="1" s="1"/>
  <c r="S249" i="1" s="1"/>
  <c r="AM248" i="1"/>
  <c r="AL248" i="1"/>
  <c r="Q248" i="1" a="1"/>
  <c r="Q248" i="1" s="1"/>
  <c r="S248" i="1" s="1"/>
  <c r="AM247" i="1"/>
  <c r="AL247" i="1"/>
  <c r="Q247" i="1" a="1"/>
  <c r="Q247" i="1" s="1"/>
  <c r="S247" i="1" s="1"/>
  <c r="AM246" i="1"/>
  <c r="AL246" i="1"/>
  <c r="Q246" i="1" a="1"/>
  <c r="Q246" i="1" s="1"/>
  <c r="S246" i="1" s="1"/>
  <c r="AM245" i="1"/>
  <c r="AL245" i="1"/>
  <c r="Q245" i="1" a="1"/>
  <c r="Q245" i="1" s="1"/>
  <c r="S245" i="1" s="1"/>
  <c r="AM244" i="1"/>
  <c r="AL244" i="1"/>
  <c r="Q244" i="1" a="1"/>
  <c r="Q244" i="1" s="1"/>
  <c r="S244" i="1" s="1"/>
  <c r="AM243" i="1"/>
  <c r="AL243" i="1"/>
  <c r="Q243" i="1" a="1"/>
  <c r="Q243" i="1" s="1"/>
  <c r="S243" i="1" s="1"/>
  <c r="AM242" i="1"/>
  <c r="AL242" i="1"/>
  <c r="Q242" i="1" a="1"/>
  <c r="Q242" i="1" s="1"/>
  <c r="S242" i="1" s="1"/>
  <c r="AM241" i="1"/>
  <c r="AL241" i="1"/>
  <c r="Q241" i="1" a="1"/>
  <c r="Q241" i="1" s="1"/>
  <c r="S241" i="1" s="1"/>
  <c r="AM240" i="1"/>
  <c r="AL240" i="1"/>
  <c r="Q240" i="1" a="1"/>
  <c r="Q240" i="1" s="1"/>
  <c r="S240" i="1" s="1"/>
  <c r="AM239" i="1"/>
  <c r="AL239" i="1"/>
  <c r="Q239" i="1" a="1"/>
  <c r="Q239" i="1" s="1"/>
  <c r="S239" i="1" s="1"/>
  <c r="AM238" i="1"/>
  <c r="AL238" i="1"/>
  <c r="Q238" i="1" a="1"/>
  <c r="Q238" i="1" s="1"/>
  <c r="S238" i="1" s="1"/>
  <c r="AM237" i="1"/>
  <c r="AL237" i="1"/>
  <c r="Q237" i="1" a="1"/>
  <c r="Q237" i="1" s="1"/>
  <c r="S237" i="1" s="1"/>
  <c r="AM236" i="1"/>
  <c r="AL236" i="1"/>
  <c r="Q236" i="1" a="1"/>
  <c r="Q236" i="1" s="1"/>
  <c r="S236" i="1" s="1"/>
  <c r="AM235" i="1"/>
  <c r="AL235" i="1"/>
  <c r="Q235" i="1" a="1"/>
  <c r="Q235" i="1" s="1"/>
  <c r="S235" i="1" s="1"/>
  <c r="AM234" i="1"/>
  <c r="AL234" i="1"/>
  <c r="Q234" i="1" a="1"/>
  <c r="Q234" i="1" s="1"/>
  <c r="S234" i="1" s="1"/>
  <c r="AM233" i="1"/>
  <c r="AL233" i="1"/>
  <c r="Q233" i="1" a="1"/>
  <c r="Q233" i="1" s="1"/>
  <c r="S233" i="1" s="1"/>
  <c r="AM232" i="1"/>
  <c r="AL232" i="1"/>
  <c r="Q232" i="1" a="1"/>
  <c r="Q232" i="1" s="1"/>
  <c r="S232" i="1" s="1"/>
  <c r="AM231" i="1"/>
  <c r="AL231" i="1"/>
  <c r="Q231" i="1" a="1"/>
  <c r="Q231" i="1" s="1"/>
  <c r="S231" i="1" s="1"/>
  <c r="AM230" i="1"/>
  <c r="AL230" i="1"/>
  <c r="Q230" i="1" a="1"/>
  <c r="Q230" i="1" s="1"/>
  <c r="S230" i="1" s="1"/>
  <c r="AM229" i="1"/>
  <c r="AL229" i="1"/>
  <c r="Q229" i="1" a="1"/>
  <c r="Q229" i="1" s="1"/>
  <c r="S229" i="1" s="1"/>
  <c r="AM228" i="1"/>
  <c r="AL228" i="1"/>
  <c r="Q228" i="1" a="1"/>
  <c r="Q228" i="1" s="1"/>
  <c r="S228" i="1" s="1"/>
  <c r="AM227" i="1"/>
  <c r="AL227" i="1"/>
  <c r="Q227" i="1" a="1"/>
  <c r="Q227" i="1" s="1"/>
  <c r="S227" i="1" s="1"/>
  <c r="AM226" i="1"/>
  <c r="AL226" i="1"/>
  <c r="Q226" i="1" a="1"/>
  <c r="Q226" i="1" s="1"/>
  <c r="S226" i="1" s="1"/>
  <c r="AM225" i="1"/>
  <c r="AL225" i="1"/>
  <c r="Q225" i="1" a="1"/>
  <c r="Q225" i="1" s="1"/>
  <c r="S225" i="1" s="1"/>
  <c r="AM224" i="1"/>
  <c r="AL224" i="1"/>
  <c r="Q224" i="1" a="1"/>
  <c r="Q224" i="1" s="1"/>
  <c r="S224" i="1" s="1"/>
  <c r="AM223" i="1"/>
  <c r="AL223" i="1"/>
  <c r="Q223" i="1" a="1"/>
  <c r="Q223" i="1" s="1"/>
  <c r="S223" i="1" s="1"/>
  <c r="AM222" i="1"/>
  <c r="AL222" i="1"/>
  <c r="Q222" i="1" a="1"/>
  <c r="Q222" i="1" s="1"/>
  <c r="S222" i="1" s="1"/>
  <c r="AM221" i="1"/>
  <c r="AL221" i="1"/>
  <c r="Q221" i="1" a="1"/>
  <c r="Q221" i="1" s="1"/>
  <c r="S221" i="1" s="1"/>
  <c r="AM220" i="1"/>
  <c r="AL220" i="1"/>
  <c r="Q220" i="1" a="1"/>
  <c r="Q220" i="1" s="1"/>
  <c r="S220" i="1" s="1"/>
  <c r="AM219" i="1"/>
  <c r="AL219" i="1"/>
  <c r="Q219" i="1" a="1"/>
  <c r="Q219" i="1" s="1"/>
  <c r="S219" i="1" s="1"/>
  <c r="AM218" i="1"/>
  <c r="AL218" i="1"/>
  <c r="Q218" i="1" a="1"/>
  <c r="Q218" i="1" s="1"/>
  <c r="S218" i="1" s="1"/>
  <c r="AM217" i="1"/>
  <c r="AL217" i="1"/>
  <c r="Q217" i="1" a="1"/>
  <c r="Q217" i="1" s="1"/>
  <c r="S217" i="1" s="1"/>
  <c r="AM216" i="1"/>
  <c r="AL216" i="1"/>
  <c r="Q216" i="1" a="1"/>
  <c r="Q216" i="1" s="1"/>
  <c r="S216" i="1" s="1"/>
  <c r="AM215" i="1"/>
  <c r="AL215" i="1"/>
  <c r="Q215" i="1" a="1"/>
  <c r="Q215" i="1" s="1"/>
  <c r="S215" i="1" s="1"/>
  <c r="AM214" i="1"/>
  <c r="AL214" i="1"/>
  <c r="Q214" i="1" a="1"/>
  <c r="Q214" i="1" s="1"/>
  <c r="S214" i="1" s="1"/>
  <c r="AM213" i="1"/>
  <c r="AL213" i="1"/>
  <c r="Q213" i="1" a="1"/>
  <c r="Q213" i="1" s="1"/>
  <c r="S213" i="1" s="1"/>
  <c r="AM212" i="1"/>
  <c r="AL212" i="1"/>
  <c r="Q212" i="1" a="1"/>
  <c r="Q212" i="1" s="1"/>
  <c r="S212" i="1" s="1"/>
  <c r="AM211" i="1"/>
  <c r="AL211" i="1"/>
  <c r="Q211" i="1" a="1"/>
  <c r="Q211" i="1" s="1"/>
  <c r="S211" i="1" s="1"/>
  <c r="AM210" i="1"/>
  <c r="AL210" i="1"/>
  <c r="Q210" i="1" a="1"/>
  <c r="Q210" i="1" s="1"/>
  <c r="S210" i="1" s="1"/>
  <c r="AM209" i="1"/>
  <c r="AL209" i="1"/>
  <c r="Q209" i="1" a="1"/>
  <c r="Q209" i="1" s="1"/>
  <c r="S209" i="1" s="1"/>
  <c r="AM208" i="1"/>
  <c r="AL208" i="1"/>
  <c r="Q208" i="1" a="1"/>
  <c r="Q208" i="1" s="1"/>
  <c r="S208" i="1" s="1"/>
  <c r="AM207" i="1"/>
  <c r="AL207" i="1"/>
  <c r="Q207" i="1" a="1"/>
  <c r="Q207" i="1" s="1"/>
  <c r="S207" i="1" s="1"/>
  <c r="AM206" i="1"/>
  <c r="AL206" i="1"/>
  <c r="Q206" i="1" a="1"/>
  <c r="Q206" i="1" s="1"/>
  <c r="S206" i="1" s="1"/>
  <c r="AM205" i="1"/>
  <c r="AL205" i="1"/>
  <c r="Q205" i="1" a="1"/>
  <c r="Q205" i="1" s="1"/>
  <c r="S205" i="1" s="1"/>
  <c r="AM204" i="1"/>
  <c r="AL204" i="1"/>
  <c r="Q204" i="1" a="1"/>
  <c r="Q204" i="1" s="1"/>
  <c r="S204" i="1" s="1"/>
  <c r="AM203" i="1"/>
  <c r="AL203" i="1"/>
  <c r="Q203" i="1" a="1"/>
  <c r="Q203" i="1" s="1"/>
  <c r="S203" i="1" s="1"/>
  <c r="AM202" i="1"/>
  <c r="AL202" i="1"/>
  <c r="Q202" i="1" a="1"/>
  <c r="Q202" i="1" s="1"/>
  <c r="S202" i="1" s="1"/>
  <c r="AM201" i="1"/>
  <c r="AL201" i="1"/>
  <c r="Q201" i="1" a="1"/>
  <c r="Q201" i="1" s="1"/>
  <c r="S201" i="1" s="1"/>
  <c r="AM200" i="1"/>
  <c r="AL200" i="1"/>
  <c r="Q200" i="1" a="1"/>
  <c r="Q200" i="1" s="1"/>
  <c r="S200" i="1" s="1"/>
  <c r="AM199" i="1"/>
  <c r="AL199" i="1"/>
  <c r="Q199" i="1" a="1"/>
  <c r="Q199" i="1" s="1"/>
  <c r="S199" i="1" s="1"/>
  <c r="AM198" i="1"/>
  <c r="AL198" i="1"/>
  <c r="Q198" i="1" a="1"/>
  <c r="Q198" i="1" s="1"/>
  <c r="S198" i="1" s="1"/>
  <c r="AM197" i="1"/>
  <c r="AL197" i="1"/>
  <c r="Q197" i="1" a="1"/>
  <c r="Q197" i="1" s="1"/>
  <c r="S197" i="1" s="1"/>
  <c r="AM196" i="1"/>
  <c r="AL196" i="1"/>
  <c r="Q196" i="1" a="1"/>
  <c r="Q196" i="1" s="1"/>
  <c r="S196" i="1" s="1"/>
  <c r="AM195" i="1"/>
  <c r="AL195" i="1"/>
  <c r="Q195" i="1" a="1"/>
  <c r="Q195" i="1" s="1"/>
  <c r="S195" i="1" s="1"/>
  <c r="AM194" i="1"/>
  <c r="AL194" i="1"/>
  <c r="Q194" i="1" a="1"/>
  <c r="Q194" i="1" s="1"/>
  <c r="S194" i="1" s="1"/>
  <c r="AM193" i="1"/>
  <c r="AL193" i="1"/>
  <c r="Q193" i="1" a="1"/>
  <c r="Q193" i="1" s="1"/>
  <c r="S193" i="1" s="1"/>
  <c r="AM192" i="1"/>
  <c r="AL192" i="1"/>
  <c r="Q192" i="1" a="1"/>
  <c r="Q192" i="1" s="1"/>
  <c r="S192" i="1" s="1"/>
  <c r="AM191" i="1"/>
  <c r="AL191" i="1"/>
  <c r="Q191" i="1" a="1"/>
  <c r="Q191" i="1" s="1"/>
  <c r="S191" i="1" s="1"/>
  <c r="AM190" i="1"/>
  <c r="AL190" i="1"/>
  <c r="Q190" i="1" a="1"/>
  <c r="Q190" i="1" s="1"/>
  <c r="S190" i="1" s="1"/>
  <c r="AM189" i="1"/>
  <c r="AL189" i="1"/>
  <c r="Q189" i="1" a="1"/>
  <c r="Q189" i="1" s="1"/>
  <c r="S189" i="1" s="1"/>
  <c r="AM188" i="1"/>
  <c r="AL188" i="1"/>
  <c r="Q188" i="1" a="1"/>
  <c r="Q188" i="1" s="1"/>
  <c r="S188" i="1" s="1"/>
  <c r="AM187" i="1"/>
  <c r="AL187" i="1"/>
  <c r="Q187" i="1" a="1"/>
  <c r="Q187" i="1" s="1"/>
  <c r="S187" i="1" s="1"/>
  <c r="AM186" i="1"/>
  <c r="AL186" i="1"/>
  <c r="Q186" i="1" a="1"/>
  <c r="Q186" i="1" s="1"/>
  <c r="S186" i="1" s="1"/>
  <c r="AM185" i="1"/>
  <c r="AL185" i="1"/>
  <c r="Q185" i="1" a="1"/>
  <c r="Q185" i="1" s="1"/>
  <c r="S185" i="1" s="1"/>
  <c r="AM184" i="1"/>
  <c r="AL184" i="1"/>
  <c r="Q184" i="1" a="1"/>
  <c r="Q184" i="1" s="1"/>
  <c r="S184" i="1" s="1"/>
  <c r="AM183" i="1"/>
  <c r="AL183" i="1"/>
  <c r="Q183" i="1" a="1"/>
  <c r="Q183" i="1" s="1"/>
  <c r="S183" i="1" s="1"/>
  <c r="AM182" i="1"/>
  <c r="AL182" i="1"/>
  <c r="Q182" i="1" a="1"/>
  <c r="Q182" i="1" s="1"/>
  <c r="S182" i="1" s="1"/>
  <c r="AM181" i="1"/>
  <c r="AL181" i="1"/>
  <c r="Q181" i="1" a="1"/>
  <c r="Q181" i="1" s="1"/>
  <c r="S181" i="1" s="1"/>
  <c r="AM180" i="1"/>
  <c r="AL180" i="1"/>
  <c r="Q180" i="1" a="1"/>
  <c r="Q180" i="1" s="1"/>
  <c r="S180" i="1" s="1"/>
  <c r="AM179" i="1"/>
  <c r="AL179" i="1"/>
  <c r="Q179" i="1" a="1"/>
  <c r="Q179" i="1" s="1"/>
  <c r="S179" i="1" s="1"/>
  <c r="AM178" i="1"/>
  <c r="AL178" i="1"/>
  <c r="Q178" i="1" a="1"/>
  <c r="Q178" i="1" s="1"/>
  <c r="S178" i="1" s="1"/>
  <c r="AM177" i="1"/>
  <c r="AL177" i="1"/>
  <c r="Q177" i="1" a="1"/>
  <c r="Q177" i="1" s="1"/>
  <c r="S177" i="1" s="1"/>
  <c r="AM176" i="1"/>
  <c r="AL176" i="1"/>
  <c r="Q176" i="1" a="1"/>
  <c r="Q176" i="1" s="1"/>
  <c r="S176" i="1" s="1"/>
  <c r="AM175" i="1"/>
  <c r="AL175" i="1"/>
  <c r="Q175" i="1" a="1"/>
  <c r="Q175" i="1" s="1"/>
  <c r="S175" i="1" s="1"/>
  <c r="AM174" i="1"/>
  <c r="AL174" i="1"/>
  <c r="Q174" i="1" a="1"/>
  <c r="Q174" i="1" s="1"/>
  <c r="S174" i="1" s="1"/>
  <c r="AM173" i="1"/>
  <c r="AL173" i="1"/>
  <c r="Q173" i="1" a="1"/>
  <c r="Q173" i="1" s="1"/>
  <c r="S173" i="1" s="1"/>
  <c r="AM172" i="1"/>
  <c r="AL172" i="1"/>
  <c r="Q172" i="1" a="1"/>
  <c r="Q172" i="1" s="1"/>
  <c r="S172" i="1" s="1"/>
  <c r="AM171" i="1"/>
  <c r="AL171" i="1"/>
  <c r="Q171" i="1" a="1"/>
  <c r="Q171" i="1" s="1"/>
  <c r="S171" i="1" s="1"/>
  <c r="AM170" i="1"/>
  <c r="AL170" i="1"/>
  <c r="Q170" i="1" a="1"/>
  <c r="Q170" i="1" s="1"/>
  <c r="S170" i="1" s="1"/>
  <c r="AM169" i="1"/>
  <c r="AL169" i="1"/>
  <c r="Q169" i="1" a="1"/>
  <c r="Q169" i="1" s="1"/>
  <c r="S169" i="1" s="1"/>
  <c r="AM168" i="1"/>
  <c r="AL168" i="1"/>
  <c r="Q168" i="1" a="1"/>
  <c r="Q168" i="1" s="1"/>
  <c r="S168" i="1" s="1"/>
  <c r="AM167" i="1"/>
  <c r="AL167" i="1"/>
  <c r="Q167" i="1" a="1"/>
  <c r="Q167" i="1" s="1"/>
  <c r="S167" i="1" s="1"/>
  <c r="AM166" i="1"/>
  <c r="AL166" i="1"/>
  <c r="Q166" i="1" a="1"/>
  <c r="Q166" i="1" s="1"/>
  <c r="S166" i="1" s="1"/>
  <c r="AM165" i="1"/>
  <c r="AL165" i="1"/>
  <c r="Q165" i="1" a="1"/>
  <c r="Q165" i="1" s="1"/>
  <c r="S165" i="1" s="1"/>
  <c r="AM164" i="1"/>
  <c r="AL164" i="1"/>
  <c r="Q164" i="1" a="1"/>
  <c r="Q164" i="1" s="1"/>
  <c r="S164" i="1" s="1"/>
  <c r="AM163" i="1"/>
  <c r="AL163" i="1"/>
  <c r="Q163" i="1" a="1"/>
  <c r="Q163" i="1" s="1"/>
  <c r="S163" i="1" s="1"/>
  <c r="AM162" i="1"/>
  <c r="AL162" i="1"/>
  <c r="Q162" i="1" a="1"/>
  <c r="Q162" i="1" s="1"/>
  <c r="S162" i="1" s="1"/>
  <c r="AM161" i="1"/>
  <c r="AL161" i="1"/>
  <c r="Q161" i="1" a="1"/>
  <c r="Q161" i="1" s="1"/>
  <c r="S161" i="1" s="1"/>
  <c r="AM160" i="1"/>
  <c r="AL160" i="1"/>
  <c r="Q160" i="1" a="1"/>
  <c r="Q160" i="1" s="1"/>
  <c r="S160" i="1" s="1"/>
  <c r="AM159" i="1"/>
  <c r="AL159" i="1"/>
  <c r="Q159" i="1" a="1"/>
  <c r="Q159" i="1" s="1"/>
  <c r="S159" i="1" s="1"/>
  <c r="AM158" i="1"/>
  <c r="AL158" i="1"/>
  <c r="Q158" i="1" a="1"/>
  <c r="Q158" i="1" s="1"/>
  <c r="S158" i="1" s="1"/>
  <c r="AM157" i="1"/>
  <c r="AL157" i="1"/>
  <c r="Q157" i="1" a="1"/>
  <c r="Q157" i="1" s="1"/>
  <c r="S157" i="1" s="1"/>
  <c r="AM156" i="1"/>
  <c r="AL156" i="1"/>
  <c r="Q156" i="1" a="1"/>
  <c r="Q156" i="1" s="1"/>
  <c r="S156" i="1" s="1"/>
  <c r="AM155" i="1"/>
  <c r="AL155" i="1"/>
  <c r="Q155" i="1" a="1"/>
  <c r="Q155" i="1" s="1"/>
  <c r="S155" i="1" s="1"/>
  <c r="AM154" i="1"/>
  <c r="AL154" i="1"/>
  <c r="Q154" i="1" a="1"/>
  <c r="Q154" i="1" s="1"/>
  <c r="S154" i="1" s="1"/>
  <c r="AM153" i="1"/>
  <c r="AL153" i="1"/>
  <c r="Q153" i="1" a="1"/>
  <c r="Q153" i="1" s="1"/>
  <c r="S153" i="1" s="1"/>
  <c r="AM152" i="1"/>
  <c r="AL152" i="1"/>
  <c r="Q152" i="1" a="1"/>
  <c r="Q152" i="1" s="1"/>
  <c r="S152" i="1" s="1"/>
  <c r="AM151" i="1"/>
  <c r="AL151" i="1"/>
  <c r="Q151" i="1" a="1"/>
  <c r="Q151" i="1" s="1"/>
  <c r="S151" i="1" s="1"/>
  <c r="AM150" i="1"/>
  <c r="AL150" i="1"/>
  <c r="Q150" i="1" a="1"/>
  <c r="Q150" i="1" s="1"/>
  <c r="S150" i="1" s="1"/>
  <c r="AM149" i="1"/>
  <c r="AL149" i="1"/>
  <c r="Q149" i="1" a="1"/>
  <c r="Q149" i="1" s="1"/>
  <c r="S149" i="1" s="1"/>
  <c r="AM148" i="1"/>
  <c r="AL148" i="1"/>
  <c r="Q148" i="1" a="1"/>
  <c r="Q148" i="1" s="1"/>
  <c r="S148" i="1" s="1"/>
  <c r="AM147" i="1"/>
  <c r="AL147" i="1"/>
  <c r="Q147" i="1" a="1"/>
  <c r="Q147" i="1" s="1"/>
  <c r="S147" i="1" s="1"/>
  <c r="AM146" i="1"/>
  <c r="AL146" i="1"/>
  <c r="Q146" i="1" a="1"/>
  <c r="Q146" i="1" s="1"/>
  <c r="S146" i="1" s="1"/>
  <c r="AM145" i="1"/>
  <c r="AL145" i="1"/>
  <c r="Q145" i="1" a="1"/>
  <c r="Q145" i="1" s="1"/>
  <c r="S145" i="1" s="1"/>
  <c r="AM144" i="1"/>
  <c r="AL144" i="1"/>
  <c r="Q144" i="1" a="1"/>
  <c r="Q144" i="1" s="1"/>
  <c r="S144" i="1" s="1"/>
  <c r="AM143" i="1"/>
  <c r="AL143" i="1"/>
  <c r="Q143" i="1" a="1"/>
  <c r="Q143" i="1" s="1"/>
  <c r="S143" i="1" s="1"/>
  <c r="AM142" i="1"/>
  <c r="AL142" i="1"/>
  <c r="Q142" i="1" a="1"/>
  <c r="Q142" i="1" s="1"/>
  <c r="S142" i="1" s="1"/>
  <c r="AM141" i="1"/>
  <c r="AL141" i="1"/>
  <c r="Q141" i="1" a="1"/>
  <c r="Q141" i="1" s="1"/>
  <c r="S141" i="1" s="1"/>
  <c r="AM140" i="1"/>
  <c r="AL140" i="1"/>
  <c r="Q140" i="1" a="1"/>
  <c r="Q140" i="1" s="1"/>
  <c r="S140" i="1" s="1"/>
  <c r="AM139" i="1"/>
  <c r="AL139" i="1"/>
  <c r="Q139" i="1" a="1"/>
  <c r="Q139" i="1" s="1"/>
  <c r="S139" i="1" s="1"/>
  <c r="AM138" i="1"/>
  <c r="AL138" i="1"/>
  <c r="Q138" i="1" a="1"/>
  <c r="Q138" i="1" s="1"/>
  <c r="S138" i="1" s="1"/>
  <c r="AM137" i="1"/>
  <c r="AL137" i="1"/>
  <c r="Q137" i="1" a="1"/>
  <c r="Q137" i="1" s="1"/>
  <c r="S137" i="1" s="1"/>
  <c r="AM136" i="1"/>
  <c r="AL136" i="1"/>
  <c r="Q136" i="1" a="1"/>
  <c r="Q136" i="1" s="1"/>
  <c r="S136" i="1" s="1"/>
  <c r="AM135" i="1"/>
  <c r="AL135" i="1"/>
  <c r="Q135" i="1" a="1"/>
  <c r="Q135" i="1" s="1"/>
  <c r="S135" i="1" s="1"/>
  <c r="AM134" i="1"/>
  <c r="AL134" i="1"/>
  <c r="Q134" i="1" a="1"/>
  <c r="Q134" i="1" s="1"/>
  <c r="S134" i="1" s="1"/>
  <c r="AM133" i="1"/>
  <c r="AL133" i="1"/>
  <c r="Q133" i="1" a="1"/>
  <c r="Q133" i="1" s="1"/>
  <c r="S133" i="1" s="1"/>
  <c r="AM132" i="1"/>
  <c r="AL132" i="1"/>
  <c r="Q132" i="1" a="1"/>
  <c r="Q132" i="1" s="1"/>
  <c r="S132" i="1" s="1"/>
  <c r="AM131" i="1"/>
  <c r="AL131" i="1"/>
  <c r="Q131" i="1" a="1"/>
  <c r="Q131" i="1" s="1"/>
  <c r="S131" i="1" s="1"/>
  <c r="AM130" i="1"/>
  <c r="AL130" i="1"/>
  <c r="Q130" i="1" a="1"/>
  <c r="Q130" i="1" s="1"/>
  <c r="S130" i="1" s="1"/>
  <c r="AM129" i="1"/>
  <c r="AL129" i="1"/>
  <c r="Q129" i="1" a="1"/>
  <c r="Q129" i="1" s="1"/>
  <c r="S129" i="1" s="1"/>
  <c r="AM128" i="1"/>
  <c r="AL128" i="1"/>
  <c r="Q128" i="1" a="1"/>
  <c r="Q128" i="1" s="1"/>
  <c r="S128" i="1" s="1"/>
  <c r="AM127" i="1"/>
  <c r="AL127" i="1"/>
  <c r="Q127" i="1" a="1"/>
  <c r="Q127" i="1" s="1"/>
  <c r="S127" i="1" s="1"/>
  <c r="AM126" i="1"/>
  <c r="AL126" i="1"/>
  <c r="Q126" i="1" a="1"/>
  <c r="Q126" i="1" s="1"/>
  <c r="S126" i="1" s="1"/>
  <c r="AM125" i="1"/>
  <c r="AL125" i="1"/>
  <c r="Q125" i="1" a="1"/>
  <c r="Q125" i="1" s="1"/>
  <c r="S125" i="1" s="1"/>
  <c r="AM124" i="1"/>
  <c r="AL124" i="1"/>
  <c r="Q124" i="1" a="1"/>
  <c r="Q124" i="1" s="1"/>
  <c r="S124" i="1" s="1"/>
  <c r="AM123" i="1"/>
  <c r="AL123" i="1"/>
  <c r="Q123" i="1" a="1"/>
  <c r="Q123" i="1" s="1"/>
  <c r="S123" i="1" s="1"/>
  <c r="AM122" i="1"/>
  <c r="AL122" i="1"/>
  <c r="Q122" i="1" a="1"/>
  <c r="Q122" i="1" s="1"/>
  <c r="S122" i="1" s="1"/>
  <c r="AM121" i="1"/>
  <c r="AL121" i="1"/>
  <c r="Q121" i="1" a="1"/>
  <c r="Q121" i="1" s="1"/>
  <c r="S121" i="1" s="1"/>
  <c r="AM120" i="1"/>
  <c r="AL120" i="1"/>
  <c r="Q120" i="1" a="1"/>
  <c r="Q120" i="1" s="1"/>
  <c r="S120" i="1" s="1"/>
  <c r="AM119" i="1"/>
  <c r="AL119" i="1"/>
  <c r="Q119" i="1" a="1"/>
  <c r="Q119" i="1" s="1"/>
  <c r="S119" i="1" s="1"/>
  <c r="AM118" i="1"/>
  <c r="AL118" i="1"/>
  <c r="Q118" i="1" a="1"/>
  <c r="Q118" i="1" s="1"/>
  <c r="S118" i="1" s="1"/>
  <c r="AM117" i="1"/>
  <c r="AL117" i="1"/>
  <c r="Q117" i="1" a="1"/>
  <c r="Q117" i="1" s="1"/>
  <c r="S117" i="1" s="1"/>
  <c r="AM116" i="1"/>
  <c r="AL116" i="1"/>
  <c r="Q116" i="1" a="1"/>
  <c r="Q116" i="1" s="1"/>
  <c r="S116" i="1" s="1"/>
  <c r="AM115" i="1"/>
  <c r="AL115" i="1"/>
  <c r="Q115" i="1" a="1"/>
  <c r="Q115" i="1" s="1"/>
  <c r="S115" i="1" s="1"/>
  <c r="AM114" i="1"/>
  <c r="AL114" i="1"/>
  <c r="Q114" i="1" a="1"/>
  <c r="Q114" i="1" s="1"/>
  <c r="S114" i="1" s="1"/>
  <c r="AM113" i="1"/>
  <c r="AL113" i="1"/>
  <c r="Q113" i="1" a="1"/>
  <c r="Q113" i="1" s="1"/>
  <c r="S113" i="1" s="1"/>
  <c r="AM112" i="1"/>
  <c r="AL112" i="1"/>
  <c r="Q112" i="1" a="1"/>
  <c r="Q112" i="1" s="1"/>
  <c r="S112" i="1" s="1"/>
  <c r="AM111" i="1"/>
  <c r="AL111" i="1"/>
  <c r="Q111" i="1" a="1"/>
  <c r="Q111" i="1" s="1"/>
  <c r="S111" i="1" s="1"/>
  <c r="AM110" i="1"/>
  <c r="AL110" i="1"/>
  <c r="Q110" i="1" a="1"/>
  <c r="Q110" i="1" s="1"/>
  <c r="S110" i="1" s="1"/>
  <c r="AM109" i="1"/>
  <c r="AL109" i="1"/>
  <c r="Q109" i="1" a="1"/>
  <c r="Q109" i="1" s="1"/>
  <c r="S109" i="1" s="1"/>
  <c r="AM108" i="1"/>
  <c r="AL108" i="1"/>
  <c r="Q108" i="1" a="1"/>
  <c r="Q108" i="1" s="1"/>
  <c r="S108" i="1" s="1"/>
  <c r="AM107" i="1"/>
  <c r="AL107" i="1"/>
  <c r="Q107" i="1" a="1"/>
  <c r="Q107" i="1" s="1"/>
  <c r="S107" i="1" s="1"/>
  <c r="AM106" i="1"/>
  <c r="AL106" i="1"/>
  <c r="Q106" i="1" a="1"/>
  <c r="Q106" i="1" s="1"/>
  <c r="S106" i="1" s="1"/>
  <c r="AB105" i="1"/>
  <c r="AN105" i="1" s="1"/>
  <c r="W105" i="1"/>
  <c r="AL105" i="1" s="1"/>
  <c r="Q105" i="1"/>
  <c r="S105" i="1" s="1"/>
  <c r="M105" i="1"/>
  <c r="R105" i="1" s="1"/>
  <c r="AJ105" i="1" s="1"/>
  <c r="AM105" i="1"/>
  <c r="AB104" i="1"/>
  <c r="AN104" i="1" s="1"/>
  <c r="W104" i="1"/>
  <c r="AL104" i="1" s="1"/>
  <c r="Q104" i="1"/>
  <c r="S104" i="1" s="1"/>
  <c r="M104" i="1"/>
  <c r="R104" i="1" s="1"/>
  <c r="AM104" i="1"/>
  <c r="AB103" i="1"/>
  <c r="AN103" i="1" s="1"/>
  <c r="W103" i="1"/>
  <c r="AL103" i="1" s="1"/>
  <c r="Q103" i="1"/>
  <c r="S103" i="1" s="1"/>
  <c r="AK103" i="1" s="1"/>
  <c r="M103" i="1"/>
  <c r="R103" i="1" s="1"/>
  <c r="AJ103" i="1" s="1"/>
  <c r="AM103" i="1"/>
  <c r="AB102" i="1"/>
  <c r="AN102" i="1" s="1"/>
  <c r="W102" i="1"/>
  <c r="AL102" i="1" s="1"/>
  <c r="Q102" i="1"/>
  <c r="S102" i="1" s="1"/>
  <c r="AK102" i="1" s="1"/>
  <c r="M102" i="1"/>
  <c r="R102" i="1" s="1"/>
  <c r="AJ102" i="1" s="1"/>
  <c r="AM102" i="1"/>
  <c r="AB101" i="1"/>
  <c r="AN101" i="1" s="1"/>
  <c r="W101" i="1"/>
  <c r="AL101" i="1" s="1"/>
  <c r="Q101" i="1"/>
  <c r="S101" i="1" s="1"/>
  <c r="AK101" i="1" s="1"/>
  <c r="M101" i="1"/>
  <c r="R101" i="1" s="1"/>
  <c r="AJ101" i="1" s="1"/>
  <c r="AM101" i="1"/>
  <c r="AB100" i="1"/>
  <c r="AN100" i="1" s="1"/>
  <c r="W100" i="1"/>
  <c r="AL100" i="1" s="1"/>
  <c r="Q100" i="1"/>
  <c r="S100" i="1" s="1"/>
  <c r="AK100" i="1" s="1"/>
  <c r="M100" i="1"/>
  <c r="R100" i="1" s="1"/>
  <c r="AJ100" i="1" s="1"/>
  <c r="AM100" i="1"/>
  <c r="AB99" i="1"/>
  <c r="AN99" i="1" s="1"/>
  <c r="W99" i="1"/>
  <c r="AL99" i="1" s="1"/>
  <c r="Q99" i="1"/>
  <c r="S99" i="1" s="1"/>
  <c r="M99" i="1"/>
  <c r="R99" i="1" s="1"/>
  <c r="AM99" i="1"/>
  <c r="AB98" i="1"/>
  <c r="AN98" i="1" s="1"/>
  <c r="W98" i="1"/>
  <c r="AL98" i="1" s="1"/>
  <c r="Q98" i="1"/>
  <c r="S98" i="1" s="1"/>
  <c r="AK98" i="1" s="1"/>
  <c r="M98" i="1"/>
  <c r="R98" i="1" s="1"/>
  <c r="AJ98" i="1" s="1"/>
  <c r="AM98" i="1"/>
  <c r="AB97" i="1"/>
  <c r="AN97" i="1" s="1"/>
  <c r="W97" i="1"/>
  <c r="AL97" i="1" s="1"/>
  <c r="Q97" i="1"/>
  <c r="S97" i="1" s="1"/>
  <c r="AK97" i="1" s="1"/>
  <c r="M97" i="1"/>
  <c r="R97" i="1" s="1"/>
  <c r="AJ97" i="1" s="1"/>
  <c r="AM97" i="1"/>
  <c r="AB96" i="1"/>
  <c r="AN96" i="1" s="1"/>
  <c r="W96" i="1"/>
  <c r="AL96" i="1" s="1"/>
  <c r="Q96" i="1"/>
  <c r="S96" i="1" s="1"/>
  <c r="AK96" i="1" s="1"/>
  <c r="M96" i="1"/>
  <c r="R96" i="1" s="1"/>
  <c r="AJ96" i="1" s="1"/>
  <c r="AM96" i="1"/>
  <c r="AB95" i="1"/>
  <c r="AN95" i="1" s="1"/>
  <c r="W95" i="1"/>
  <c r="AL95" i="1" s="1"/>
  <c r="Q95" i="1"/>
  <c r="S95" i="1" s="1"/>
  <c r="AK95" i="1" s="1"/>
  <c r="M95" i="1"/>
  <c r="R95" i="1" s="1"/>
  <c r="AJ95" i="1" s="1"/>
  <c r="AM95" i="1"/>
  <c r="AB94" i="1"/>
  <c r="AN94" i="1" s="1"/>
  <c r="W94" i="1"/>
  <c r="AL94" i="1" s="1"/>
  <c r="Q94" i="1"/>
  <c r="S94" i="1" s="1"/>
  <c r="AK94" i="1" s="1"/>
  <c r="M94" i="1"/>
  <c r="R94" i="1" s="1"/>
  <c r="AJ94" i="1" s="1"/>
  <c r="AM94" i="1"/>
  <c r="AB93" i="1"/>
  <c r="AN93" i="1" s="1"/>
  <c r="W93" i="1"/>
  <c r="AL93" i="1" s="1"/>
  <c r="Q93" i="1"/>
  <c r="S93" i="1" s="1"/>
  <c r="AK93" i="1" s="1"/>
  <c r="M93" i="1"/>
  <c r="R93" i="1" s="1"/>
  <c r="AJ93" i="1" s="1"/>
  <c r="AM93" i="1"/>
  <c r="AB92" i="1"/>
  <c r="AN92" i="1" s="1"/>
  <c r="W92" i="1"/>
  <c r="AL92" i="1" s="1"/>
  <c r="Q92" i="1"/>
  <c r="S92" i="1" s="1"/>
  <c r="AK92" i="1" s="1"/>
  <c r="M92" i="1"/>
  <c r="R92" i="1" s="1"/>
  <c r="AJ92" i="1" s="1"/>
  <c r="AM92" i="1"/>
  <c r="AB91" i="1"/>
  <c r="AN91" i="1" s="1"/>
  <c r="W91" i="1"/>
  <c r="AL91" i="1" s="1"/>
  <c r="Q91" i="1"/>
  <c r="S91" i="1" s="1"/>
  <c r="AK91" i="1" s="1"/>
  <c r="M91" i="1"/>
  <c r="R91" i="1" s="1"/>
  <c r="AJ91" i="1" s="1"/>
  <c r="AM91" i="1"/>
  <c r="AB90" i="1"/>
  <c r="AN90" i="1" s="1"/>
  <c r="W90" i="1"/>
  <c r="AL90" i="1" s="1"/>
  <c r="Q90" i="1"/>
  <c r="S90" i="1" s="1"/>
  <c r="AK90" i="1" s="1"/>
  <c r="M90" i="1"/>
  <c r="R90" i="1" s="1"/>
  <c r="AJ90" i="1" s="1"/>
  <c r="AM90" i="1"/>
  <c r="AB89" i="1"/>
  <c r="AN89" i="1" s="1"/>
  <c r="W89" i="1"/>
  <c r="AL89" i="1" s="1"/>
  <c r="Q89" i="1"/>
  <c r="S89" i="1" s="1"/>
  <c r="AK89" i="1" s="1"/>
  <c r="M89" i="1"/>
  <c r="R89" i="1" s="1"/>
  <c r="AJ89" i="1" s="1"/>
  <c r="AM89" i="1"/>
  <c r="AB88" i="1"/>
  <c r="AN88" i="1" s="1"/>
  <c r="W88" i="1"/>
  <c r="AL88" i="1" s="1"/>
  <c r="Q88" i="1"/>
  <c r="S88" i="1" s="1"/>
  <c r="M88" i="1"/>
  <c r="R88" i="1" s="1"/>
  <c r="AJ88" i="1" s="1"/>
  <c r="AM88" i="1"/>
  <c r="AB87" i="1"/>
  <c r="AN87" i="1" s="1"/>
  <c r="W87" i="1"/>
  <c r="AL87" i="1" s="1"/>
  <c r="Q87" i="1"/>
  <c r="S87" i="1" s="1"/>
  <c r="M87" i="1"/>
  <c r="R87" i="1" s="1"/>
  <c r="AJ87" i="1" s="1"/>
  <c r="AM87" i="1"/>
  <c r="AB86" i="1"/>
  <c r="AN86" i="1" s="1"/>
  <c r="W86" i="1"/>
  <c r="AL86" i="1" s="1"/>
  <c r="Q86" i="1"/>
  <c r="S86" i="1" s="1"/>
  <c r="M86" i="1"/>
  <c r="R86" i="1" s="1"/>
  <c r="AJ86" i="1" s="1"/>
  <c r="AM86" i="1"/>
  <c r="AB85" i="1"/>
  <c r="AN85" i="1" s="1"/>
  <c r="W85" i="1"/>
  <c r="AL85" i="1" s="1"/>
  <c r="Q85" i="1"/>
  <c r="S85" i="1" s="1"/>
  <c r="AK85" i="1" s="1"/>
  <c r="M85" i="1"/>
  <c r="R85" i="1" s="1"/>
  <c r="AJ85" i="1" s="1"/>
  <c r="AM85" i="1"/>
  <c r="AB84" i="1"/>
  <c r="AN84" i="1" s="1"/>
  <c r="W84" i="1"/>
  <c r="AL84" i="1" s="1"/>
  <c r="Q84" i="1"/>
  <c r="S84" i="1" s="1"/>
  <c r="AK84" i="1" s="1"/>
  <c r="M84" i="1"/>
  <c r="R84" i="1" s="1"/>
  <c r="AJ84" i="1" s="1"/>
  <c r="AM84" i="1"/>
  <c r="AB83" i="1"/>
  <c r="AN83" i="1" s="1"/>
  <c r="W83" i="1"/>
  <c r="AL83" i="1" s="1"/>
  <c r="Q83" i="1"/>
  <c r="S83" i="1" s="1"/>
  <c r="M83" i="1"/>
  <c r="R83" i="1" s="1"/>
  <c r="AJ83" i="1" s="1"/>
  <c r="AM83" i="1"/>
  <c r="AB82" i="1"/>
  <c r="AN82" i="1" s="1"/>
  <c r="W82" i="1"/>
  <c r="AL82" i="1" s="1"/>
  <c r="Q82" i="1"/>
  <c r="S82" i="1" s="1"/>
  <c r="AK82" i="1" s="1"/>
  <c r="M82" i="1"/>
  <c r="R82" i="1" s="1"/>
  <c r="AJ82" i="1" s="1"/>
  <c r="AM82" i="1"/>
  <c r="AB81" i="1"/>
  <c r="AN81" i="1" s="1"/>
  <c r="W81" i="1"/>
  <c r="AL81" i="1" s="1"/>
  <c r="Q81" i="1"/>
  <c r="S81" i="1" s="1"/>
  <c r="M81" i="1"/>
  <c r="R81" i="1" s="1"/>
  <c r="AJ81" i="1" s="1"/>
  <c r="AM81" i="1"/>
  <c r="AB80" i="1"/>
  <c r="AN80" i="1" s="1"/>
  <c r="W80" i="1"/>
  <c r="AL80" i="1" s="1"/>
  <c r="Q80" i="1"/>
  <c r="S80" i="1" s="1"/>
  <c r="M80" i="1"/>
  <c r="R80" i="1" s="1"/>
  <c r="AJ80" i="1" s="1"/>
  <c r="AM80" i="1"/>
  <c r="AB79" i="1"/>
  <c r="AN79" i="1" s="1"/>
  <c r="W79" i="1"/>
  <c r="AL79" i="1" s="1"/>
  <c r="Q79" i="1"/>
  <c r="S79" i="1" s="1"/>
  <c r="M79" i="1"/>
  <c r="R79" i="1" s="1"/>
  <c r="AJ79" i="1" s="1"/>
  <c r="AM79" i="1"/>
  <c r="AB78" i="1"/>
  <c r="AN78" i="1" s="1"/>
  <c r="W78" i="1"/>
  <c r="AL78" i="1" s="1"/>
  <c r="Q78" i="1"/>
  <c r="S78" i="1" s="1"/>
  <c r="M78" i="1"/>
  <c r="R78" i="1" s="1"/>
  <c r="AM78" i="1"/>
  <c r="AB77" i="1"/>
  <c r="AN77" i="1" s="1"/>
  <c r="W77" i="1"/>
  <c r="AL77" i="1" s="1"/>
  <c r="Q77" i="1"/>
  <c r="S77" i="1" s="1"/>
  <c r="AK77" i="1" s="1"/>
  <c r="M77" i="1"/>
  <c r="R77" i="1" s="1"/>
  <c r="AJ77" i="1" s="1"/>
  <c r="AM77" i="1"/>
  <c r="AB76" i="1"/>
  <c r="AN76" i="1" s="1"/>
  <c r="W76" i="1"/>
  <c r="AL76" i="1" s="1"/>
  <c r="Q76" i="1"/>
  <c r="S76" i="1" s="1"/>
  <c r="M76" i="1"/>
  <c r="R76" i="1" s="1"/>
  <c r="AJ76" i="1" s="1"/>
  <c r="AM76" i="1"/>
  <c r="AB75" i="1"/>
  <c r="AN75" i="1" s="1"/>
  <c r="W75" i="1"/>
  <c r="AL75" i="1" s="1"/>
  <c r="Q75" i="1"/>
  <c r="S75" i="1" s="1"/>
  <c r="AK75" i="1" s="1"/>
  <c r="M75" i="1"/>
  <c r="R75" i="1" s="1"/>
  <c r="AJ75" i="1" s="1"/>
  <c r="AM75" i="1"/>
  <c r="AB74" i="1"/>
  <c r="AN74" i="1" s="1"/>
  <c r="W74" i="1"/>
  <c r="AL74" i="1" s="1"/>
  <c r="Q74" i="1"/>
  <c r="S74" i="1" s="1"/>
  <c r="AK74" i="1" s="1"/>
  <c r="M74" i="1"/>
  <c r="R74" i="1" s="1"/>
  <c r="AJ74" i="1" s="1"/>
  <c r="AM74" i="1"/>
  <c r="AB73" i="1"/>
  <c r="AN73" i="1" s="1"/>
  <c r="W73" i="1"/>
  <c r="AL73" i="1" s="1"/>
  <c r="Q73" i="1"/>
  <c r="S73" i="1" s="1"/>
  <c r="M73" i="1"/>
  <c r="R73" i="1" s="1"/>
  <c r="AM73" i="1"/>
  <c r="AB72" i="1"/>
  <c r="AN72" i="1" s="1"/>
  <c r="W72" i="1"/>
  <c r="AL72" i="1" s="1"/>
  <c r="Q72" i="1"/>
  <c r="S72" i="1" s="1"/>
  <c r="M72" i="1"/>
  <c r="R72" i="1" s="1"/>
  <c r="AJ72" i="1" s="1"/>
  <c r="AM72" i="1"/>
  <c r="AB71" i="1"/>
  <c r="AN71" i="1" s="1"/>
  <c r="W71" i="1"/>
  <c r="AL71" i="1" s="1"/>
  <c r="Q71" i="1"/>
  <c r="S71" i="1" s="1"/>
  <c r="AK71" i="1" s="1"/>
  <c r="M71" i="1"/>
  <c r="R71" i="1" s="1"/>
  <c r="AJ71" i="1" s="1"/>
  <c r="AM71" i="1"/>
  <c r="AB70" i="1"/>
  <c r="AN70" i="1" s="1"/>
  <c r="W70" i="1"/>
  <c r="AL70" i="1" s="1"/>
  <c r="Q70" i="1"/>
  <c r="S70" i="1" s="1"/>
  <c r="M70" i="1"/>
  <c r="R70" i="1" s="1"/>
  <c r="AM70" i="1"/>
  <c r="AB69" i="1"/>
  <c r="AN69" i="1" s="1"/>
  <c r="W69" i="1"/>
  <c r="AL69" i="1" s="1"/>
  <c r="Q69" i="1"/>
  <c r="S69" i="1" s="1"/>
  <c r="M69" i="1"/>
  <c r="R69" i="1" s="1"/>
  <c r="AJ69" i="1" s="1"/>
  <c r="AM69" i="1"/>
  <c r="AB68" i="1"/>
  <c r="AN68" i="1" s="1"/>
  <c r="W68" i="1"/>
  <c r="AL68" i="1" s="1"/>
  <c r="Q68" i="1"/>
  <c r="S68" i="1" s="1"/>
  <c r="M68" i="1"/>
  <c r="R68" i="1" s="1"/>
  <c r="AJ68" i="1" s="1"/>
  <c r="AM68" i="1"/>
  <c r="AB67" i="1"/>
  <c r="AN67" i="1" s="1"/>
  <c r="W67" i="1"/>
  <c r="AL67" i="1" s="1"/>
  <c r="Q67" i="1"/>
  <c r="S67" i="1" s="1"/>
  <c r="AK67" i="1" s="1"/>
  <c r="M67" i="1"/>
  <c r="R67" i="1" s="1"/>
  <c r="AJ67" i="1" s="1"/>
  <c r="AM67" i="1"/>
  <c r="AB66" i="1"/>
  <c r="AN66" i="1" s="1"/>
  <c r="W66" i="1"/>
  <c r="AL66" i="1" s="1"/>
  <c r="Q66" i="1"/>
  <c r="S66" i="1" s="1"/>
  <c r="M66" i="1"/>
  <c r="R66" i="1" s="1"/>
  <c r="AM66" i="1"/>
  <c r="AB65" i="1"/>
  <c r="AN65" i="1" s="1"/>
  <c r="W65" i="1"/>
  <c r="AL65" i="1" s="1"/>
  <c r="Q65" i="1"/>
  <c r="S65" i="1" s="1"/>
  <c r="M65" i="1"/>
  <c r="R65" i="1" s="1"/>
  <c r="AM65" i="1"/>
  <c r="AB64" i="1"/>
  <c r="AN64" i="1" s="1"/>
  <c r="W64" i="1"/>
  <c r="AL64" i="1" s="1"/>
  <c r="Q64" i="1"/>
  <c r="S64" i="1" s="1"/>
  <c r="M64" i="1"/>
  <c r="R64" i="1" s="1"/>
  <c r="AM64" i="1"/>
  <c r="AB63" i="1"/>
  <c r="AN63" i="1" s="1"/>
  <c r="W63" i="1"/>
  <c r="AL63" i="1" s="1"/>
  <c r="Q63" i="1"/>
  <c r="S63" i="1" s="1"/>
  <c r="AK63" i="1" s="1"/>
  <c r="M63" i="1"/>
  <c r="R63" i="1" s="1"/>
  <c r="AJ63" i="1" s="1"/>
  <c r="AM63" i="1"/>
  <c r="AB62" i="1"/>
  <c r="AN62" i="1" s="1"/>
  <c r="W62" i="1"/>
  <c r="AL62" i="1" s="1"/>
  <c r="Q62" i="1"/>
  <c r="S62" i="1" s="1"/>
  <c r="M62" i="1"/>
  <c r="R62" i="1" s="1"/>
  <c r="AM62" i="1"/>
  <c r="AB61" i="1"/>
  <c r="AN61" i="1" s="1"/>
  <c r="W61" i="1"/>
  <c r="AL61" i="1" s="1"/>
  <c r="Q61" i="1"/>
  <c r="S61" i="1" s="1"/>
  <c r="M61" i="1"/>
  <c r="R61" i="1" s="1"/>
  <c r="AJ61" i="1" s="1"/>
  <c r="AM61" i="1"/>
  <c r="AB60" i="1"/>
  <c r="AN60" i="1" s="1"/>
  <c r="W60" i="1"/>
  <c r="AL60" i="1" s="1"/>
  <c r="Q60" i="1"/>
  <c r="S60" i="1" s="1"/>
  <c r="M60" i="1"/>
  <c r="R60" i="1" s="1"/>
  <c r="AJ60" i="1" s="1"/>
  <c r="AM60" i="1"/>
  <c r="AB59" i="1"/>
  <c r="AN59" i="1" s="1"/>
  <c r="W59" i="1"/>
  <c r="AL59" i="1" s="1"/>
  <c r="Q59" i="1"/>
  <c r="S59" i="1" s="1"/>
  <c r="M59" i="1"/>
  <c r="R59" i="1" s="1"/>
  <c r="AM59" i="1"/>
  <c r="AB58" i="1"/>
  <c r="AN58" i="1" s="1"/>
  <c r="W58" i="1"/>
  <c r="AL58" i="1" s="1"/>
  <c r="Q58" i="1"/>
  <c r="S58" i="1" s="1"/>
  <c r="M58" i="1"/>
  <c r="R58" i="1" s="1"/>
  <c r="AM58" i="1"/>
  <c r="AB57" i="1"/>
  <c r="AN57" i="1" s="1"/>
  <c r="W57" i="1"/>
  <c r="AL57" i="1" s="1"/>
  <c r="Q57" i="1"/>
  <c r="S57" i="1" s="1"/>
  <c r="AK57" i="1" s="1"/>
  <c r="M57" i="1"/>
  <c r="R57" i="1" s="1"/>
  <c r="AJ57" i="1" s="1"/>
  <c r="AM57" i="1"/>
  <c r="AB56" i="1"/>
  <c r="AN56" i="1" s="1"/>
  <c r="W56" i="1"/>
  <c r="AL56" i="1" s="1"/>
  <c r="Q56" i="1"/>
  <c r="S56" i="1" s="1"/>
  <c r="M56" i="1"/>
  <c r="R56" i="1" s="1"/>
  <c r="AM56" i="1"/>
  <c r="AB55" i="1"/>
  <c r="AN55" i="1" s="1"/>
  <c r="W55" i="1"/>
  <c r="AL55" i="1" s="1"/>
  <c r="Q55" i="1"/>
  <c r="S55" i="1" s="1"/>
  <c r="M55" i="1"/>
  <c r="R55" i="1" s="1"/>
  <c r="AJ55" i="1" s="1"/>
  <c r="AM55" i="1"/>
  <c r="AB54" i="1"/>
  <c r="AN54" i="1" s="1"/>
  <c r="W54" i="1"/>
  <c r="AL54" i="1" s="1"/>
  <c r="Q54" i="1"/>
  <c r="S54" i="1" s="1"/>
  <c r="M54" i="1"/>
  <c r="R54" i="1" s="1"/>
  <c r="AJ54" i="1" s="1"/>
  <c r="AM54" i="1"/>
  <c r="AB53" i="1"/>
  <c r="AN53" i="1" s="1"/>
  <c r="W53" i="1"/>
  <c r="AL53" i="1" s="1"/>
  <c r="Q53" i="1"/>
  <c r="S53" i="1" s="1"/>
  <c r="M53" i="1"/>
  <c r="R53" i="1" s="1"/>
  <c r="AM53" i="1"/>
  <c r="AB52" i="1"/>
  <c r="AN52" i="1" s="1"/>
  <c r="W52" i="1"/>
  <c r="AL52" i="1" s="1"/>
  <c r="Q52" i="1"/>
  <c r="S52" i="1" s="1"/>
  <c r="AK52" i="1" s="1"/>
  <c r="M52" i="1"/>
  <c r="R52" i="1" s="1"/>
  <c r="AJ52" i="1" s="1"/>
  <c r="AM52" i="1"/>
  <c r="AB51" i="1"/>
  <c r="AN51" i="1" s="1"/>
  <c r="W51" i="1"/>
  <c r="AL51" i="1" s="1"/>
  <c r="Q51" i="1"/>
  <c r="S51" i="1" s="1"/>
  <c r="M51" i="1"/>
  <c r="R51" i="1" s="1"/>
  <c r="AJ51" i="1" s="1"/>
  <c r="AM51" i="1"/>
  <c r="AB50" i="1"/>
  <c r="AN50" i="1" s="1"/>
  <c r="W50" i="1"/>
  <c r="AL50" i="1" s="1"/>
  <c r="Q50" i="1"/>
  <c r="S50" i="1" s="1"/>
  <c r="M50" i="1"/>
  <c r="R50" i="1" s="1"/>
  <c r="AJ50" i="1" s="1"/>
  <c r="AM50" i="1"/>
  <c r="AB49" i="1"/>
  <c r="AN49" i="1" s="1"/>
  <c r="W49" i="1"/>
  <c r="AL49" i="1" s="1"/>
  <c r="Q49" i="1"/>
  <c r="S49" i="1" s="1"/>
  <c r="M49" i="1"/>
  <c r="R49" i="1" s="1"/>
  <c r="AJ49" i="1" s="1"/>
  <c r="AM49" i="1"/>
  <c r="AB48" i="1"/>
  <c r="AN48" i="1" s="1"/>
  <c r="W48" i="1"/>
  <c r="AL48" i="1" s="1"/>
  <c r="Q48" i="1"/>
  <c r="S48" i="1" s="1"/>
  <c r="M48" i="1"/>
  <c r="R48" i="1" s="1"/>
  <c r="AM48" i="1"/>
  <c r="AB47" i="1"/>
  <c r="AN47" i="1" s="1"/>
  <c r="W47" i="1"/>
  <c r="AL47" i="1" s="1"/>
  <c r="Q47" i="1"/>
  <c r="S47" i="1" s="1"/>
  <c r="AK47" i="1" s="1"/>
  <c r="M47" i="1"/>
  <c r="R47" i="1" s="1"/>
  <c r="AJ47" i="1" s="1"/>
  <c r="AM47" i="1"/>
  <c r="AB46" i="1"/>
  <c r="AN46" i="1" s="1"/>
  <c r="W46" i="1"/>
  <c r="AL46" i="1" s="1"/>
  <c r="Q46" i="1"/>
  <c r="S46" i="1" s="1"/>
  <c r="AK46" i="1" s="1"/>
  <c r="M46" i="1"/>
  <c r="R46" i="1" s="1"/>
  <c r="AJ46" i="1" s="1"/>
  <c r="AM46" i="1"/>
  <c r="AB45" i="1"/>
  <c r="AN45" i="1" s="1"/>
  <c r="W45" i="1"/>
  <c r="AL45" i="1" s="1"/>
  <c r="Q45" i="1"/>
  <c r="S45" i="1" s="1"/>
  <c r="M45" i="1"/>
  <c r="R45" i="1" s="1"/>
  <c r="AM45" i="1"/>
  <c r="AB44" i="1"/>
  <c r="AN44" i="1" s="1"/>
  <c r="W44" i="1"/>
  <c r="AL44" i="1" s="1"/>
  <c r="Q44" i="1"/>
  <c r="S44" i="1" s="1"/>
  <c r="M44" i="1"/>
  <c r="R44" i="1" s="1"/>
  <c r="AM44" i="1"/>
  <c r="AB43" i="1"/>
  <c r="AN43" i="1" s="1"/>
  <c r="W43" i="1"/>
  <c r="AL43" i="1" s="1"/>
  <c r="Q43" i="1"/>
  <c r="S43" i="1" s="1"/>
  <c r="M43" i="1"/>
  <c r="R43" i="1" s="1"/>
  <c r="AM43" i="1"/>
  <c r="AB42" i="1"/>
  <c r="AN42" i="1" s="1"/>
  <c r="W42" i="1"/>
  <c r="AL42" i="1" s="1"/>
  <c r="Q42" i="1"/>
  <c r="S42" i="1" s="1"/>
  <c r="M42" i="1"/>
  <c r="R42" i="1" s="1"/>
  <c r="AM42" i="1"/>
  <c r="AB41" i="1"/>
  <c r="AN41" i="1" s="1"/>
  <c r="W41" i="1"/>
  <c r="AL41" i="1" s="1"/>
  <c r="Q41" i="1"/>
  <c r="S41" i="1" s="1"/>
  <c r="M41" i="1"/>
  <c r="R41" i="1" s="1"/>
  <c r="AJ41" i="1" s="1"/>
  <c r="AM41" i="1"/>
  <c r="AB40" i="1"/>
  <c r="AN40" i="1" s="1"/>
  <c r="W40" i="1"/>
  <c r="AL40" i="1" s="1"/>
  <c r="Q40" i="1"/>
  <c r="S40" i="1" s="1"/>
  <c r="M40" i="1"/>
  <c r="R40" i="1" s="1"/>
  <c r="AJ40" i="1" s="1"/>
  <c r="AM40" i="1"/>
  <c r="AB39" i="1"/>
  <c r="AN39" i="1" s="1"/>
  <c r="W39" i="1"/>
  <c r="AL39" i="1" s="1"/>
  <c r="Q39" i="1"/>
  <c r="S39" i="1" s="1"/>
  <c r="M39" i="1"/>
  <c r="R39" i="1" s="1"/>
  <c r="AM39" i="1"/>
  <c r="AB38" i="1"/>
  <c r="AN38" i="1" s="1"/>
  <c r="W38" i="1"/>
  <c r="AL38" i="1" s="1"/>
  <c r="Q38" i="1"/>
  <c r="S38" i="1" s="1"/>
  <c r="M38" i="1"/>
  <c r="R38" i="1" s="1"/>
  <c r="AM38" i="1"/>
  <c r="AB37" i="1"/>
  <c r="AN37" i="1" s="1"/>
  <c r="W37" i="1"/>
  <c r="AL37" i="1" s="1"/>
  <c r="Q37" i="1"/>
  <c r="S37" i="1" s="1"/>
  <c r="M37" i="1"/>
  <c r="R37" i="1" s="1"/>
  <c r="AJ37" i="1" s="1"/>
  <c r="AM37" i="1"/>
  <c r="AB36" i="1"/>
  <c r="AN36" i="1" s="1"/>
  <c r="W36" i="1"/>
  <c r="AL36" i="1" s="1"/>
  <c r="Q36" i="1"/>
  <c r="S36" i="1" s="1"/>
  <c r="M36" i="1"/>
  <c r="R36" i="1" s="1"/>
  <c r="AJ36" i="1" s="1"/>
  <c r="AM36" i="1"/>
  <c r="AB35" i="1"/>
  <c r="AN35" i="1" s="1"/>
  <c r="W35" i="1"/>
  <c r="AL35" i="1" s="1"/>
  <c r="Q35" i="1"/>
  <c r="S35" i="1" s="1"/>
  <c r="M35" i="1"/>
  <c r="R35" i="1" s="1"/>
  <c r="AJ35" i="1" s="1"/>
  <c r="AB34" i="1"/>
  <c r="AN34" i="1" s="1"/>
  <c r="W34" i="1"/>
  <c r="AL34" i="1" s="1"/>
  <c r="Q34" i="1"/>
  <c r="S34" i="1" s="1"/>
  <c r="M34" i="1"/>
  <c r="R34" i="1" s="1"/>
  <c r="AJ34" i="1" s="1"/>
  <c r="AM34" i="1"/>
  <c r="AB33" i="1"/>
  <c r="AN33" i="1" s="1"/>
  <c r="W33" i="1"/>
  <c r="AL33" i="1" s="1"/>
  <c r="Q33" i="1"/>
  <c r="S33" i="1" s="1"/>
  <c r="M33" i="1"/>
  <c r="R33" i="1" s="1"/>
  <c r="AM33" i="1"/>
  <c r="AB32" i="1"/>
  <c r="AN32" i="1" s="1"/>
  <c r="W32" i="1"/>
  <c r="AL32" i="1" s="1"/>
  <c r="Q32" i="1"/>
  <c r="S32" i="1" s="1"/>
  <c r="AK32" i="1" s="1"/>
  <c r="M32" i="1"/>
  <c r="R32" i="1" s="1"/>
  <c r="AJ32" i="1" s="1"/>
  <c r="AM32" i="1"/>
  <c r="AB31" i="1"/>
  <c r="AN31" i="1" s="1"/>
  <c r="W31" i="1"/>
  <c r="AL31" i="1" s="1"/>
  <c r="Q31" i="1"/>
  <c r="S31" i="1" s="1"/>
  <c r="M31" i="1"/>
  <c r="R31" i="1" s="1"/>
  <c r="AM31" i="1"/>
  <c r="AB30" i="1"/>
  <c r="AN30" i="1" s="1"/>
  <c r="W30" i="1"/>
  <c r="AL30" i="1" s="1"/>
  <c r="Q30" i="1"/>
  <c r="S30" i="1" s="1"/>
  <c r="M30" i="1"/>
  <c r="R30" i="1" s="1"/>
  <c r="AM30" i="1"/>
  <c r="AB29" i="1"/>
  <c r="AN29" i="1" s="1"/>
  <c r="W29" i="1"/>
  <c r="AL29" i="1" s="1"/>
  <c r="Q29" i="1"/>
  <c r="S29" i="1" s="1"/>
  <c r="M29" i="1"/>
  <c r="R29" i="1" s="1"/>
  <c r="AM29" i="1"/>
  <c r="AB28" i="1"/>
  <c r="AN28" i="1" s="1"/>
  <c r="W28" i="1"/>
  <c r="AL28" i="1" s="1"/>
  <c r="Q28" i="1"/>
  <c r="S28" i="1" s="1"/>
  <c r="M28" i="1"/>
  <c r="R28" i="1" s="1"/>
  <c r="AM28" i="1"/>
  <c r="AB27" i="1"/>
  <c r="AN27" i="1" s="1"/>
  <c r="W27" i="1"/>
  <c r="AL27" i="1" s="1"/>
  <c r="Q27" i="1"/>
  <c r="S27" i="1" s="1"/>
  <c r="M27" i="1"/>
  <c r="R27" i="1" s="1"/>
  <c r="AM27" i="1"/>
  <c r="AM26" i="1"/>
  <c r="AB26" i="1"/>
  <c r="W26" i="1"/>
  <c r="AL26" i="1" s="1"/>
  <c r="Q26" i="1"/>
  <c r="S26" i="1" s="1"/>
  <c r="AK26" i="1" s="1"/>
  <c r="M26" i="1"/>
  <c r="R26" i="1" s="1"/>
  <c r="AJ26" i="1" s="1"/>
  <c r="AB25" i="1"/>
  <c r="AN25" i="1" s="1"/>
  <c r="W25" i="1"/>
  <c r="AL25" i="1" s="1"/>
  <c r="Q25" i="1"/>
  <c r="S25" i="1" s="1"/>
  <c r="M25" i="1"/>
  <c r="R25" i="1" s="1"/>
  <c r="AJ25" i="1" s="1"/>
  <c r="AM25" i="1"/>
  <c r="AB24" i="1"/>
  <c r="AN24" i="1" s="1"/>
  <c r="W24" i="1"/>
  <c r="AL24" i="1" s="1"/>
  <c r="Q24" i="1"/>
  <c r="S24" i="1" s="1"/>
  <c r="M24" i="1"/>
  <c r="R24" i="1" s="1"/>
  <c r="AM24" i="1"/>
  <c r="AB23" i="1"/>
  <c r="AN23" i="1" s="1"/>
  <c r="W23" i="1"/>
  <c r="AL23" i="1" s="1"/>
  <c r="Q23" i="1"/>
  <c r="S23" i="1" s="1"/>
  <c r="M23" i="1"/>
  <c r="R23" i="1" s="1"/>
  <c r="AM23" i="1"/>
  <c r="AB22" i="1"/>
  <c r="AN22" i="1" s="1"/>
  <c r="W22" i="1"/>
  <c r="AL22" i="1" s="1"/>
  <c r="Q22" i="1"/>
  <c r="S22" i="1" s="1"/>
  <c r="AK22" i="1" s="1"/>
  <c r="M22" i="1"/>
  <c r="R22" i="1" s="1"/>
  <c r="AJ22" i="1" s="1"/>
  <c r="AM22" i="1"/>
  <c r="AB21" i="1"/>
  <c r="AN21" i="1" s="1"/>
  <c r="W21" i="1"/>
  <c r="AL21" i="1" s="1"/>
  <c r="Q21" i="1"/>
  <c r="S21" i="1" s="1"/>
  <c r="M21" i="1"/>
  <c r="R21" i="1" s="1"/>
  <c r="AJ21" i="1" s="1"/>
  <c r="AM21" i="1"/>
  <c r="AB20" i="1"/>
  <c r="W20" i="1"/>
  <c r="AL20" i="1" s="1"/>
  <c r="Q20" i="1"/>
  <c r="S20" i="1" s="1"/>
  <c r="AK20" i="1" s="1"/>
  <c r="M20" i="1"/>
  <c r="R20" i="1" s="1"/>
  <c r="AJ20" i="1" s="1"/>
  <c r="AM20" i="1"/>
  <c r="AB19" i="1"/>
  <c r="AN19" i="1" s="1"/>
  <c r="W19" i="1"/>
  <c r="AL19" i="1" s="1"/>
  <c r="Q19" i="1"/>
  <c r="S19" i="1" s="1"/>
  <c r="AK19" i="1" s="1"/>
  <c r="M19" i="1"/>
  <c r="R19" i="1" s="1"/>
  <c r="AJ19" i="1" s="1"/>
  <c r="AM19" i="1"/>
  <c r="AB18" i="1"/>
  <c r="AN18" i="1" s="1"/>
  <c r="W18" i="1"/>
  <c r="AL18" i="1" s="1"/>
  <c r="Q18" i="1"/>
  <c r="S18" i="1" s="1"/>
  <c r="M18" i="1"/>
  <c r="R18" i="1" s="1"/>
  <c r="AM18" i="1"/>
  <c r="AB17" i="1"/>
  <c r="AN17" i="1" s="1"/>
  <c r="W17" i="1"/>
  <c r="AL17" i="1" s="1"/>
  <c r="Q17" i="1"/>
  <c r="S17" i="1" s="1"/>
  <c r="M17" i="1"/>
  <c r="R17" i="1" s="1"/>
  <c r="AM17" i="1"/>
  <c r="AB16" i="1"/>
  <c r="AN16" i="1" s="1"/>
  <c r="W16" i="1"/>
  <c r="AL16" i="1" s="1"/>
  <c r="Q16" i="1"/>
  <c r="S16" i="1" s="1"/>
  <c r="AK16" i="1" s="1"/>
  <c r="M16" i="1"/>
  <c r="R16" i="1" s="1"/>
  <c r="AJ16" i="1" s="1"/>
  <c r="AM16" i="1"/>
  <c r="AB15" i="1"/>
  <c r="AN15" i="1" s="1"/>
  <c r="W15" i="1"/>
  <c r="AL15" i="1" s="1"/>
  <c r="Q15" i="1"/>
  <c r="S15" i="1" s="1"/>
  <c r="M15" i="1"/>
  <c r="R15" i="1" s="1"/>
  <c r="AM15" i="1"/>
  <c r="AB14" i="1"/>
  <c r="AN14" i="1" s="1"/>
  <c r="W14" i="1"/>
  <c r="AL14" i="1" s="1"/>
  <c r="Q14" i="1"/>
  <c r="S14" i="1" s="1"/>
  <c r="M14" i="1"/>
  <c r="R14" i="1" s="1"/>
  <c r="AJ14" i="1" s="1"/>
  <c r="AM14" i="1"/>
  <c r="AB13" i="1"/>
  <c r="AN13" i="1" s="1"/>
  <c r="W13" i="1"/>
  <c r="AL13" i="1" s="1"/>
  <c r="Q13" i="1"/>
  <c r="S13" i="1" s="1"/>
  <c r="M13" i="1"/>
  <c r="R13" i="1" s="1"/>
  <c r="AM13" i="1"/>
  <c r="AB12" i="1"/>
  <c r="AN12" i="1" s="1"/>
  <c r="W12" i="1"/>
  <c r="AL12" i="1" s="1"/>
  <c r="Q12" i="1"/>
  <c r="S12" i="1" s="1"/>
  <c r="M12" i="1"/>
  <c r="R12" i="1" s="1"/>
  <c r="AJ12" i="1" s="1"/>
  <c r="AM12" i="1"/>
  <c r="AB11" i="1"/>
  <c r="AN11" i="1" s="1"/>
  <c r="W11" i="1"/>
  <c r="AL11" i="1" s="1"/>
  <c r="Q11" i="1"/>
  <c r="S11" i="1" s="1"/>
  <c r="M11" i="1"/>
  <c r="R11" i="1" s="1"/>
  <c r="AM11" i="1"/>
  <c r="AB10" i="1"/>
  <c r="AN10" i="1" s="1"/>
  <c r="W10" i="1"/>
  <c r="AL10" i="1" s="1"/>
  <c r="Q10" i="1"/>
  <c r="S10" i="1" s="1"/>
  <c r="M10" i="1"/>
  <c r="R10" i="1" s="1"/>
  <c r="AM10" i="1"/>
  <c r="AB9" i="1"/>
  <c r="AN9" i="1" s="1"/>
  <c r="W9" i="1"/>
  <c r="AL9" i="1" s="1"/>
  <c r="Q9" i="1"/>
  <c r="S9" i="1" s="1"/>
  <c r="M9" i="1"/>
  <c r="R9" i="1" s="1"/>
  <c r="AM9" i="1"/>
  <c r="AB8" i="1"/>
  <c r="AN8" i="1" s="1"/>
  <c r="W8" i="1"/>
  <c r="AL8" i="1" s="1"/>
  <c r="Q8" i="1"/>
  <c r="S8" i="1" s="1"/>
  <c r="M8" i="1"/>
  <c r="R8" i="1" s="1"/>
  <c r="AM8" i="1"/>
  <c r="AB7" i="1"/>
  <c r="AN7" i="1" s="1"/>
  <c r="W7" i="1"/>
  <c r="AL7" i="1" s="1"/>
  <c r="Q7" i="1"/>
  <c r="S7" i="1" s="1"/>
  <c r="M7" i="1"/>
  <c r="R7" i="1" s="1"/>
  <c r="AM7" i="1"/>
  <c r="AB6" i="1"/>
  <c r="AN6" i="1" s="1"/>
  <c r="W6" i="1"/>
  <c r="AL6" i="1" s="1"/>
  <c r="Q6" i="1"/>
  <c r="S6" i="1" s="1"/>
  <c r="M6" i="1"/>
  <c r="R6" i="1" s="1"/>
  <c r="AM6" i="1"/>
  <c r="AB5" i="1"/>
  <c r="AN5" i="1" s="1"/>
  <c r="W5" i="1"/>
  <c r="AL5" i="1" s="1"/>
  <c r="Q5" i="1"/>
  <c r="S5" i="1" s="1"/>
  <c r="M5" i="1"/>
  <c r="R5" i="1" s="1"/>
  <c r="AM5" i="1"/>
  <c r="AB4" i="1"/>
  <c r="AN4" i="1" s="1"/>
  <c r="W4" i="1"/>
  <c r="AL4" i="1" s="1"/>
  <c r="Q4" i="1"/>
  <c r="S4" i="1" s="1"/>
  <c r="AK4" i="1" s="1"/>
  <c r="M4" i="1"/>
  <c r="R4" i="1" s="1"/>
  <c r="AJ4" i="1" s="1"/>
  <c r="AM4" i="1"/>
  <c r="AB3" i="1"/>
  <c r="AN3" i="1" s="1"/>
  <c r="W3" i="1"/>
  <c r="AL3" i="1" s="1"/>
  <c r="Q3" i="1"/>
  <c r="S3" i="1" s="1"/>
  <c r="AK3" i="1" s="1"/>
  <c r="M3" i="1"/>
  <c r="R3" i="1" s="1"/>
  <c r="AJ3" i="1" s="1"/>
  <c r="AM3" i="1"/>
  <c r="AA2" i="1"/>
  <c r="AB2" i="1" s="1"/>
  <c r="W2" i="1"/>
  <c r="AL2" i="1" s="1"/>
  <c r="Q2" i="1"/>
  <c r="S2" i="1" s="1"/>
  <c r="M2" i="1"/>
  <c r="R2" i="1" s="1"/>
  <c r="I2" i="1"/>
  <c r="AM2" i="1" s="1"/>
  <c r="AN20" i="1" l="1"/>
  <c r="AN26" i="1"/>
  <c r="AN2" i="1"/>
  <c r="AK5" i="1"/>
  <c r="AK13" i="1"/>
  <c r="AK21" i="1"/>
  <c r="AK8" i="1"/>
  <c r="AJ6" i="1"/>
  <c r="AJ7" i="1"/>
  <c r="AJ9" i="1"/>
  <c r="AJ15" i="1"/>
  <c r="AK11" i="1"/>
  <c r="AK27" i="1"/>
  <c r="AJ59" i="1"/>
  <c r="AJ2" i="1"/>
  <c r="AJ5" i="1"/>
  <c r="AK9" i="1"/>
  <c r="AJ10" i="1"/>
  <c r="AJ11" i="1"/>
  <c r="AJ13" i="1"/>
  <c r="AK17" i="1"/>
  <c r="AJ18" i="1"/>
  <c r="AK25" i="1"/>
  <c r="AJ27" i="1"/>
  <c r="AK28" i="1"/>
  <c r="AJ29" i="1"/>
  <c r="AK33" i="1"/>
  <c r="AK36" i="1"/>
  <c r="AK41" i="1"/>
  <c r="AJ42" i="1"/>
  <c r="AJ43" i="1"/>
  <c r="AK44" i="1"/>
  <c r="AJ45" i="1"/>
  <c r="AK49" i="1"/>
  <c r="AJ53" i="1"/>
  <c r="AJ56" i="1"/>
  <c r="AK6" i="1"/>
  <c r="AJ28" i="1"/>
  <c r="AK2" i="1"/>
  <c r="AK12" i="1"/>
  <c r="AK7" i="1"/>
  <c r="AJ8" i="1"/>
  <c r="AK10" i="1"/>
  <c r="AK15" i="1"/>
  <c r="AK18" i="1"/>
  <c r="AK23" i="1"/>
  <c r="AJ24" i="1"/>
  <c r="AK31" i="1"/>
  <c r="AK34" i="1"/>
  <c r="AK39" i="1"/>
  <c r="AK42" i="1"/>
  <c r="AJ48" i="1"/>
  <c r="AK50" i="1"/>
  <c r="AK55" i="1"/>
  <c r="AK56" i="1"/>
  <c r="AK61" i="1"/>
  <c r="AJ23" i="1"/>
  <c r="AK24" i="1"/>
  <c r="AK29" i="1"/>
  <c r="AJ30" i="1"/>
  <c r="AJ31" i="1"/>
  <c r="AJ33" i="1"/>
  <c r="AK37" i="1"/>
  <c r="AJ38" i="1"/>
  <c r="AJ39" i="1"/>
  <c r="AK40" i="1"/>
  <c r="AK45" i="1"/>
  <c r="AK48" i="1"/>
  <c r="AK53" i="1"/>
  <c r="AJ17" i="1"/>
  <c r="AK14" i="1"/>
  <c r="AK30" i="1"/>
  <c r="AK35" i="1"/>
  <c r="AK38" i="1"/>
  <c r="AK43" i="1"/>
  <c r="AJ44" i="1"/>
  <c r="AK51" i="1"/>
  <c r="AK54" i="1"/>
  <c r="AK60" i="1"/>
  <c r="AJ58" i="1"/>
  <c r="AK59" i="1"/>
  <c r="AJ62" i="1"/>
  <c r="AJ64" i="1"/>
  <c r="AK66" i="1"/>
  <c r="AK79" i="1"/>
  <c r="AK87" i="1"/>
  <c r="AJ104" i="1"/>
  <c r="AK58" i="1"/>
  <c r="AK62" i="1"/>
  <c r="AK64" i="1"/>
  <c r="AJ65" i="1"/>
  <c r="AK69" i="1"/>
  <c r="AJ70" i="1"/>
  <c r="AK72" i="1"/>
  <c r="AJ73" i="1"/>
  <c r="AJ78" i="1"/>
  <c r="AK80" i="1"/>
  <c r="AK88" i="1"/>
  <c r="AK104" i="1"/>
  <c r="AK70" i="1"/>
  <c r="AK78" i="1"/>
  <c r="AK83" i="1"/>
  <c r="AK86" i="1"/>
  <c r="AK99" i="1"/>
  <c r="AK105" i="1"/>
  <c r="AK65" i="1"/>
  <c r="AJ66" i="1"/>
  <c r="AK68" i="1"/>
  <c r="AK73" i="1"/>
  <c r="AK76" i="1"/>
  <c r="AK81" i="1"/>
  <c r="AJ99" i="1"/>
  <c r="C644" i="1" l="1"/>
  <c r="C643" i="1"/>
  <c r="C642" i="1"/>
  <c r="C645" i="1" l="1"/>
</calcChain>
</file>

<file path=xl/sharedStrings.xml><?xml version="1.0" encoding="utf-8"?>
<sst xmlns="http://schemas.openxmlformats.org/spreadsheetml/2006/main" count="6978" uniqueCount="1356">
  <si>
    <t>Sl No.</t>
  </si>
  <si>
    <t>Audit entity ID</t>
  </si>
  <si>
    <t>Name of Audit Entity</t>
  </si>
  <si>
    <t>Department</t>
  </si>
  <si>
    <t>Default classification</t>
  </si>
  <si>
    <t>Section</t>
  </si>
  <si>
    <t>DDO Code</t>
  </si>
  <si>
    <t xml:space="preserve">Last Audited </t>
  </si>
  <si>
    <t>Arrear of Audit</t>
  </si>
  <si>
    <t>Non Staff Expenditure 2022-23</t>
  </si>
  <si>
    <t>Non Staff Expenditure 2023-24</t>
  </si>
  <si>
    <t>Non Staff Expenditure 2024-25</t>
  </si>
  <si>
    <t>AVERAGE  Non Staff  Expenditure</t>
  </si>
  <si>
    <t>Total Expenditure 2022-23</t>
  </si>
  <si>
    <t>Total Expenditure 2023-24</t>
  </si>
  <si>
    <t>Total Expenditure 2024-25</t>
  </si>
  <si>
    <t>AVERAGE Total  Expenditure 2024-25</t>
  </si>
  <si>
    <t>Log Value of Average Non Staff Expenditure</t>
  </si>
  <si>
    <t>Part IIA Para 2022-23</t>
  </si>
  <si>
    <t>Part IIA Para 2023-24</t>
  </si>
  <si>
    <t>Part IIA Para 2024-25</t>
  </si>
  <si>
    <t>Total Part 2 A Para</t>
  </si>
  <si>
    <t>Press Clippings/ Special Points</t>
  </si>
  <si>
    <t>SP</t>
  </si>
  <si>
    <t>PC</t>
  </si>
  <si>
    <t>SP+PC</t>
  </si>
  <si>
    <t>Non Stafff Expenditure Rating</t>
  </si>
  <si>
    <t>TOTAL Expenditure Rating</t>
  </si>
  <si>
    <t xml:space="preserve">2A para Rating </t>
  </si>
  <si>
    <t xml:space="preserve">Arrear of Audit Rating </t>
  </si>
  <si>
    <t>DC BILL RATING</t>
  </si>
  <si>
    <t>UC RATING</t>
  </si>
  <si>
    <t>GUJ-DEP-FE-SECTT</t>
  </si>
  <si>
    <t>Forest and Environment Department Secretariat</t>
  </si>
  <si>
    <t>Forest</t>
  </si>
  <si>
    <t>Apex Auditable Entity</t>
  </si>
  <si>
    <t>Section 13</t>
  </si>
  <si>
    <t>GUJ-FE-CF-WL-JUNA</t>
  </si>
  <si>
    <t>Junagadh Wild Life Circle</t>
  </si>
  <si>
    <t>Audit Unit</t>
  </si>
  <si>
    <t>Not Available</t>
  </si>
  <si>
    <t>S.P. = 00
P.C. = 00</t>
  </si>
  <si>
    <t>GUJ-FE-CF-GTK-JUNA</t>
  </si>
  <si>
    <t>Conservator of Forest Gir Task Force, Junagadh</t>
  </si>
  <si>
    <t>NA</t>
  </si>
  <si>
    <t>GUJ-FE-DCF-WL-SASA</t>
  </si>
  <si>
    <t>Deputy Conservator of Forest Wild Life Sasangir</t>
  </si>
  <si>
    <t>S.P. = 01
P.C. = 00</t>
  </si>
  <si>
    <t>01</t>
  </si>
  <si>
    <t>GUJ-FE-DCF-WL-DHAR</t>
  </si>
  <si>
    <t>Deputy Conservator of Forest GIR East Division Dhari</t>
  </si>
  <si>
    <t>S.P. = 03
P.C. = 00</t>
  </si>
  <si>
    <t>03</t>
  </si>
  <si>
    <t>GUJ-FE-DCF-WL-JUNA</t>
  </si>
  <si>
    <t>Deputy Conservator of Forest GIR West Division Junagadh</t>
  </si>
  <si>
    <t>S.P. = 02
P.C. = 00</t>
  </si>
  <si>
    <t>02</t>
  </si>
  <si>
    <t>GUJ-FE-DCF-WL-SBAG</t>
  </si>
  <si>
    <t>Director Zoo Officer Sakkar Baug</t>
  </si>
  <si>
    <t/>
  </si>
  <si>
    <t>GUJ-FE-DCF-SWL-PALI</t>
  </si>
  <si>
    <t>Deputy Conservator of Forest, Shetrunji Wildlife Division, Palitana</t>
  </si>
  <si>
    <t>GUJ-FE-DCF-WL-PORB</t>
  </si>
  <si>
    <t>Deputy Conservator of Forests, Porbandar</t>
  </si>
  <si>
    <t>GUJ-FE-DCF-WL-BHAV</t>
  </si>
  <si>
    <t>Deputy Conservator of Forest Black Buck National Park Velavadar, Bhavnagar</t>
  </si>
  <si>
    <t>GUJ-FE-CF-GNR-WL-N</t>
  </si>
  <si>
    <t>Gandhinagar North Gujarat Wild Life Circle</t>
  </si>
  <si>
    <t>GUJ-FE-DCF-WL-DHRA</t>
  </si>
  <si>
    <t>Deputy Conservator of Forest, STS Wild Ass Dhangradhra</t>
  </si>
  <si>
    <t>GUJ-FE-DCF-WL-NALS</t>
  </si>
  <si>
    <t>Deputy Conservator Of Forests, Nalsarovar, Sanand</t>
  </si>
  <si>
    <t>GUJ-FE-DCF-EXTD-WL-PALA</t>
  </si>
  <si>
    <t>Deputy Conservator of Forest Wildlife Division Banaskantha Palanpur</t>
  </si>
  <si>
    <t>GUJ-FE-CF-WL-VADO</t>
  </si>
  <si>
    <t>Conservator of Forest Wild Life Circle Vadodara</t>
  </si>
  <si>
    <t>GUJ-FE-DCF-WL-VADO</t>
  </si>
  <si>
    <t>Deputy Conservator of Forest, Vadodara Wild Life Division</t>
  </si>
  <si>
    <t>GUJ-FE-DCF-WL-RAJP</t>
  </si>
  <si>
    <t>DCF Narmada WL division, Rajpipla</t>
  </si>
  <si>
    <t>GUJ-FE-DCF-WL-KEVA</t>
  </si>
  <si>
    <t>Director Jungle Safari Park, Kevadiya</t>
  </si>
  <si>
    <t>GUJ-FE-CF-MNP-JAMN</t>
  </si>
  <si>
    <t>Chief Conservator of Forest, Marine National Park Jamnagar Circle</t>
  </si>
  <si>
    <t>S.P. = 00
P.C. = 02</t>
  </si>
  <si>
    <t>00</t>
  </si>
  <si>
    <t>GUJ-FE-DCF-MNP-JAMN</t>
  </si>
  <si>
    <t>Dy Conservator of Forest Marine National Park Jamnagar</t>
  </si>
  <si>
    <t>GUJ-FE-CF-GNR</t>
  </si>
  <si>
    <t>Chief Conservator of Forest, Gandhinagar Circle (Territorial Normal Wing )</t>
  </si>
  <si>
    <t>GUJ-FE-DCF-GNR</t>
  </si>
  <si>
    <t>Deputy Conservator of Forest Gandhinagar Division Gandhinagar (This division works as normal &amp; social Forestry both)</t>
  </si>
  <si>
    <t>GUJ-FE-DCF-MODA</t>
  </si>
  <si>
    <t>Deputy Conservator of Forest, Arvalli Forest Division, Modasa (Sabarkantha Extn. Division (South) Himatnagar)</t>
  </si>
  <si>
    <t>GUJ-FE-DCF-HIMA</t>
  </si>
  <si>
    <t>Deputy Conservator of Forest Sabarkantha Himatnagar</t>
  </si>
  <si>
    <t>GUJ-FE-CF-JUNA</t>
  </si>
  <si>
    <t>Chief Conservator of Forest, Junagadh Circle</t>
  </si>
  <si>
    <t>S.P. = 00
P.C. = 05</t>
  </si>
  <si>
    <t>GUJ-FE-DCF-JUNA</t>
  </si>
  <si>
    <t>Deputy Conservator of Forest Junagadh Division Junagadh</t>
  </si>
  <si>
    <t>GUJ-FE-DCF-JAMN</t>
  </si>
  <si>
    <t>Deputy Conservator of Forest Jamnagar Division Jamnagar</t>
  </si>
  <si>
    <t>GUJ-FE-DCF-BHAV</t>
  </si>
  <si>
    <t>Deputy Conservator of Forest Bhavnagar Division Bhavnagar</t>
  </si>
  <si>
    <t>GUJ-FE-DCF-SURE</t>
  </si>
  <si>
    <t>Deputy Conservator of Forest Surendranagar Division Surendranagar</t>
  </si>
  <si>
    <t>GUJ-FE-DCF-MORB</t>
  </si>
  <si>
    <t>Deputy Conservator of Forest, Morbi Forest Division, Morbi (Ex DCF Rajkot)</t>
  </si>
  <si>
    <t>GUJ-FE-CF-KACH</t>
  </si>
  <si>
    <t>Chief Conservator of Forest, Kutch Circle</t>
  </si>
  <si>
    <t>GUJ-FE-DCF-SF-PATA</t>
  </si>
  <si>
    <t>Deputy Conservator of Forest Social Forestry Sub Division Patan</t>
  </si>
  <si>
    <t>GUJ-FE-DCF-BGL-BHUJ</t>
  </si>
  <si>
    <t>DeputyConservator of Forest Banny Grass Land Division Kutch-Bhuj</t>
  </si>
  <si>
    <t>GUJ-FE-DCF-BHUJ-E</t>
  </si>
  <si>
    <t>Deputy Conservator of Forest Kutch (East) Division Bhuj</t>
  </si>
  <si>
    <t>GUJ-FE-DCF-BHUJ-W</t>
  </si>
  <si>
    <t>Deputy Conservator of Forest Kutch (West) Division Bhuj</t>
  </si>
  <si>
    <t>GUJ-FE-CF-SURAT</t>
  </si>
  <si>
    <t>Conservator of Forest Surat Circle Surat</t>
  </si>
  <si>
    <t>GUJ-FE-DCF-SURAT</t>
  </si>
  <si>
    <t>Deputy Conservator of Forest Surat</t>
  </si>
  <si>
    <t>GUJ-FE-DCF-VYAR</t>
  </si>
  <si>
    <t>Deputy Conservator of Forest Vyara Division Vyara</t>
  </si>
  <si>
    <t>GUJ-FE-DCF-BHAR</t>
  </si>
  <si>
    <t>Deputy Conservator of Forest Bharuch</t>
  </si>
  <si>
    <t>GUJ-FE-CF-VADO</t>
  </si>
  <si>
    <t>Conservator of Forest Vadodara Circle, Vadodara.</t>
  </si>
  <si>
    <t>GUJ-FE-DCF-SF-GODH</t>
  </si>
  <si>
    <t>Deputy Conservator of Forest, Social Forestry Division, Godhra</t>
  </si>
  <si>
    <t>GUJ-FE-DCF-DEVA</t>
  </si>
  <si>
    <t>Deputy Conservator of Forest Baria Division Devagadhbaria.</t>
  </si>
  <si>
    <t>GUJ-FE-DCF-LUNA</t>
  </si>
  <si>
    <t>Deputy Conservator of Forest, Mahisagar Forest Division, Lunawada (Ex. Social Forestry Division, Godhra)</t>
  </si>
  <si>
    <t>GUJ-FE-DCF-CU</t>
  </si>
  <si>
    <t>Deputy Conservator of Forest Chhotaudapur Division Chhotaudapur.</t>
  </si>
  <si>
    <t>GUJ-FE-DCF-KEVA</t>
  </si>
  <si>
    <t>Deputy Conservator of Forest, Kevadiya Forest Division</t>
  </si>
  <si>
    <t>Established in April 2020</t>
  </si>
  <si>
    <t>GUJ-FE-CF-VALS</t>
  </si>
  <si>
    <t>Chief Conservator of Forest, Valsad Circle</t>
  </si>
  <si>
    <t>GUJ-FE-DCF-VALS-S</t>
  </si>
  <si>
    <t>Deputy Conservator of Forest Valsad South</t>
  </si>
  <si>
    <t>GUJ-FE-DCF-VALS-N</t>
  </si>
  <si>
    <t>Deputy Conservator of forest , Valsad North</t>
  </si>
  <si>
    <t>GUJ-FE-DCF-DANG-N</t>
  </si>
  <si>
    <t>Deputy Conservator of Forest North Dangs , Division Ahwa.</t>
  </si>
  <si>
    <t>GUJ-FE-DCF-DANG-S</t>
  </si>
  <si>
    <t>Dy Conservator Of Forest Dangs South Division Ahwa-Dang</t>
  </si>
  <si>
    <t>GUJ-FE-CF-AMDA</t>
  </si>
  <si>
    <t>Chief Conservator of Forest, Ahmedabad Social Forestry Circle</t>
  </si>
  <si>
    <t>GUJ-FE-DCF-AMDA</t>
  </si>
  <si>
    <t>Deputy Conservator of Forest Social Forestry Division Ahmedabad.</t>
  </si>
  <si>
    <t>GUJ-FE-DCF-NADI</t>
  </si>
  <si>
    <t>Deputy Conservator of Forest Social Forestry Division Nadiad.</t>
  </si>
  <si>
    <t>GUJ-FE-DCF-ANAN</t>
  </si>
  <si>
    <t>ASST Conservator of Forest Social Forestry SUB Division Anand</t>
  </si>
  <si>
    <t>GUJ-FE-DCF-SF-SURE</t>
  </si>
  <si>
    <t>Deputy Conservator of Forest Social Forestry Division Surendranagar.</t>
  </si>
  <si>
    <t>GUJ-FE-CF-RAJK</t>
  </si>
  <si>
    <t>Chief Conservator of Forest, Rajkot Social Forestry Circle</t>
  </si>
  <si>
    <t>GUJ-FE-DCF-RAJK</t>
  </si>
  <si>
    <t>Deputy Conservator Of Forest, Social Forestry Rajkot</t>
  </si>
  <si>
    <t>GUJ-FE-DCF-AMRE</t>
  </si>
  <si>
    <t>Deputy Conservator of Forest Social Forestry Division Amreli</t>
  </si>
  <si>
    <t>GUJ-FE-DCF-VERA</t>
  </si>
  <si>
    <t>Deputy Conservator of Forest Gir Somnath Forest Division, Veraval (Ex. Social Forestry Division Junagadh)</t>
  </si>
  <si>
    <t>GUJ-FE-DCF-JAMK</t>
  </si>
  <si>
    <t>Deputy Conservator of Forest, Devbhumi Dwarka Forest Division, Jamkhambhaliya (Social Forestry Division, Jamnagar)</t>
  </si>
  <si>
    <t>850981</t>
  </si>
  <si>
    <t>GUJ-FE-DCF-BOTA</t>
  </si>
  <si>
    <t>Deputy Conservator of Forest, Botad Forest Division, Botad (Social Forestry Division, Bhavnagar)</t>
  </si>
  <si>
    <t>GUJ-FE-CF-MEHS</t>
  </si>
  <si>
    <t>Mehsana Social Forestry Circle</t>
  </si>
  <si>
    <t>GUJ-FE-DCF-SF-MEHS</t>
  </si>
  <si>
    <t>Deputy Conservator of Forest Social Forestry Mehsana</t>
  </si>
  <si>
    <t>GUJ-FE-DCF-PALA</t>
  </si>
  <si>
    <t>Deputy Conservator of Forest Banaskantha Social Forestry Division, Palanpur</t>
  </si>
  <si>
    <t>GUJ-FE-DCF-SF-HIMA</t>
  </si>
  <si>
    <t>Deputy Conservator of Forest Sabarkantha Division Himatnagar</t>
  </si>
  <si>
    <t>GUJ-FE-CF-SF-BHAR</t>
  </si>
  <si>
    <t>Chief Conservator of Forest, Bharuch Social Forestry Circle</t>
  </si>
  <si>
    <t>GUJ-FE-DCF-SF-BHAR</t>
  </si>
  <si>
    <t>Deputy Conservator of Forest Social Forestry Division Bharuch.</t>
  </si>
  <si>
    <t>GUJ-FE-DCF-SF-NAVA</t>
  </si>
  <si>
    <t>Deputy Conservator of Forest Social Forestry Division Navasari.</t>
  </si>
  <si>
    <t>GUJ-FE-DCF-SF-SURAT</t>
  </si>
  <si>
    <t>Deputy Conservator of Forest Social Forestry Division Surat</t>
  </si>
  <si>
    <t>GUJ-FE-DCF-SF-NARM</t>
  </si>
  <si>
    <t>Assistant Conservator of Forest Social Forestry SUB Division Narmada.</t>
  </si>
  <si>
    <t>GUJ-FE-DCF-SF-VALS</t>
  </si>
  <si>
    <t>Dy Conservator of Forest, Social Forest Division Valsad</t>
  </si>
  <si>
    <t>GUJ-FE-DCF-GODH</t>
  </si>
  <si>
    <t>Deputy Conservator of Forest Godhra Division Godhra.</t>
  </si>
  <si>
    <t>S.P. =01
P.C. = 00</t>
  </si>
  <si>
    <t>GUJ-FE-DCF-DAHO</t>
  </si>
  <si>
    <t>Deputy Conservator of Forest Social Forestry Division Dahod.</t>
  </si>
  <si>
    <t>GUJ-FE-CF-SF-GODH</t>
  </si>
  <si>
    <t>Conservator of Forest, Social Forestry Circle, Godhra</t>
  </si>
  <si>
    <t>GUJ-FE-DCF-SF-VADO</t>
  </si>
  <si>
    <t>Deputy Conservator of Forest Social Forestry Division Vadodara</t>
  </si>
  <si>
    <t>GUJ-FE-CF-SF-KACH</t>
  </si>
  <si>
    <t>Conservator of Forest, Kutch Social Forestry Circle, Kutch</t>
  </si>
  <si>
    <t>GUJ-FE-DCF-SF-BHUJ</t>
  </si>
  <si>
    <t>Deputy Conservator of Forests, Social Forestry Division Bhuj</t>
  </si>
  <si>
    <t>GUJ-FE-CF-WP-VADO</t>
  </si>
  <si>
    <t>Working Plan Circle, Vadodara</t>
  </si>
  <si>
    <t>GUJ-FE-CF-WP-JUNA</t>
  </si>
  <si>
    <t>Working Plan Circle, Junagadh</t>
  </si>
  <si>
    <t>GUJ-FE-CF-WP-SURAT</t>
  </si>
  <si>
    <t>Chief Conservator of Forest, Working Plan Circle, Surat</t>
  </si>
  <si>
    <t>GUJ-FE-CF-RAJP</t>
  </si>
  <si>
    <t>Conservator of Forest Silva, Rajpipla</t>
  </si>
  <si>
    <t>GUJ-FE-GFRC-RAJP</t>
  </si>
  <si>
    <t>Principal Gujarat Forest Rangers College, Rajpipla</t>
  </si>
  <si>
    <t>GUJ-FE-DCF-FT-KAKR</t>
  </si>
  <si>
    <t>Deputy Conservator of Forest Training Kakrapar</t>
  </si>
  <si>
    <t>Beg</t>
  </si>
  <si>
    <t>GUJ-FE-CF-RES-GNR</t>
  </si>
  <si>
    <t>Conservator of Forest, Research &amp; Training, Gandhinagar</t>
  </si>
  <si>
    <t>GUJ-FE-DCFT-FT-GNR</t>
  </si>
  <si>
    <t>Deputy Conservator of Forest Training Gandhinagar</t>
  </si>
  <si>
    <t>GUJ-FE-DCF-FRES-GNR</t>
  </si>
  <si>
    <t>Deputy Conservator of Forest Research , Gandhinagar</t>
  </si>
  <si>
    <t>GUJ-FE-DCF-P&amp;L-GNR</t>
  </si>
  <si>
    <t>Deputy Conservator of Forest Publicity and Liaison Division Office Gandhinagar</t>
  </si>
  <si>
    <t>GUJ-FE-DCF-COMM-GNR</t>
  </si>
  <si>
    <t>DCF Communication, Gandhinagar</t>
  </si>
  <si>
    <t>GUJ-FE-AB-GEER</t>
  </si>
  <si>
    <t>Gujarat Ecology Education &amp; Research (GEER) Foundation, Gandhinagar</t>
  </si>
  <si>
    <t>Section 14</t>
  </si>
  <si>
    <t>GUJ-FE-AB-GSLCS</t>
  </si>
  <si>
    <t>Gujarat State Lion Conservation Society, Wild Life Circle, Sardarbagh, Junagarh</t>
  </si>
  <si>
    <t>GUJ-FE-AB-MNP-MSCS-JAM</t>
  </si>
  <si>
    <t>Gujarat Marine National Park and Marine Sanctuary Conservation Society Jamnagar</t>
  </si>
  <si>
    <t>GUJ-FE-AB-SZMAS-JUN</t>
  </si>
  <si>
    <t>Sakkarbaug Zoo Management Advisory Society, Junagadh</t>
  </si>
  <si>
    <t>S.P. =00
P.C. = 00</t>
  </si>
  <si>
    <t>GUJ-FE-AB-GFRF-GNR</t>
  </si>
  <si>
    <t>Gujarat Forest Research Foundation (GFRF), Gandhinagar</t>
  </si>
  <si>
    <t>GUJ-FE-AB-GEMI</t>
  </si>
  <si>
    <t>Gujarat Environment Management Institute, Gandhinagar (GEMI)</t>
  </si>
  <si>
    <t>GUJ-FE-AB-GSBB</t>
  </si>
  <si>
    <t>Gujarat State Biodiversity Board</t>
  </si>
  <si>
    <t>Section 19 (2)</t>
  </si>
  <si>
    <t>GUJ-FE-AB-GPCB</t>
  </si>
  <si>
    <t>Gujarat Pollution Control Board</t>
  </si>
  <si>
    <t>S.P. = 09
P.C. = 03</t>
  </si>
  <si>
    <t>09</t>
  </si>
  <si>
    <t>GUJ-FE-PCCF-AB-CAMPA</t>
  </si>
  <si>
    <t>Gujarat state CAMPA</t>
  </si>
  <si>
    <t>GUJ-FE-PCCF</t>
  </si>
  <si>
    <t>Pr. Chief Conservator of Forest, Gandhinagar</t>
  </si>
  <si>
    <t>S.P. = 04
P.C. = 08</t>
  </si>
  <si>
    <t>04</t>
  </si>
  <si>
    <t>08</t>
  </si>
  <si>
    <t>GUJ-FE-SBWL-GNR</t>
  </si>
  <si>
    <t>Gujarat Wildlife Board SBWL</t>
  </si>
  <si>
    <t>FE-GUJ-SEIAA-GANR</t>
  </si>
  <si>
    <t>State Environment Impact Assessment Authority (SEIAA)</t>
  </si>
  <si>
    <t>Section 19(2)</t>
  </si>
  <si>
    <t>Gujarat State Wetland Authority (GSWA), Gandhinagar</t>
  </si>
  <si>
    <t>GUJ-FE-AB-SFDA-GNR</t>
  </si>
  <si>
    <t>State Forest Development Agency (SFDA), Gujarat</t>
  </si>
  <si>
    <t>GUJ-FE-DCF-SFUO-RAJP</t>
  </si>
  <si>
    <t>Deputy Conservator of Forest SILVICULTURE &amp; FOREST UTILIZATION OFFICE, Rajpipala</t>
  </si>
  <si>
    <t>GUJ-FE-AB-FDA-GIRS-W</t>
  </si>
  <si>
    <t>Forest Development Agency, Gir-West</t>
  </si>
  <si>
    <t>Implementing Unit</t>
  </si>
  <si>
    <t>Beg.</t>
  </si>
  <si>
    <t>GUJ-FE-AB-FDA-CU</t>
  </si>
  <si>
    <t>Forest Development Agency, Chhota Udepur</t>
  </si>
  <si>
    <t>GUJ-FE-AB-FDA-GODH</t>
  </si>
  <si>
    <t>Forest Development Agency, Godhra</t>
  </si>
  <si>
    <t>GUJ-FE-AB-FDA-JUNA</t>
  </si>
  <si>
    <t>Forest Development Agency, Junagadh</t>
  </si>
  <si>
    <t>GUJ-FE-AB-FDA-SURE</t>
  </si>
  <si>
    <t>Forest Development Agency, Surendranagar</t>
  </si>
  <si>
    <t>GUJ-FE-AB-FDA-NARM</t>
  </si>
  <si>
    <t>Forest Development Agency, Narmada(Rajpipla EAST)</t>
  </si>
  <si>
    <t>GUJ-FE-AB-FDA-SABA-N</t>
  </si>
  <si>
    <t>Forest Development Agency, S. K. H,nagar (North)</t>
  </si>
  <si>
    <t>GUJ-FE-AB-FDA-VALS-N</t>
  </si>
  <si>
    <t>Forest Development Agency, Valsad(North)</t>
  </si>
  <si>
    <t>GUJ-FE-AB-FDA-BHAV</t>
  </si>
  <si>
    <t>Forest Development Agency, Bhavnagar</t>
  </si>
  <si>
    <t>GUJ-FE-AB-FDA-VALS-S</t>
  </si>
  <si>
    <t>Forest Development Agency, Valsad South</t>
  </si>
  <si>
    <t>GUJ-FE-AB-FDA-JAMN</t>
  </si>
  <si>
    <t>Forest Development Agency, Jamnagar</t>
  </si>
  <si>
    <t>GUJ-FE-AB-FDA-RAJK</t>
  </si>
  <si>
    <t>Forest Development Agency, Rajkot</t>
  </si>
  <si>
    <t>GUJ-FE-AB-FDA-DEVG</t>
  </si>
  <si>
    <t>Forest Development Agency, Devgadhbaria</t>
  </si>
  <si>
    <t>GUJ-FE-AB-FDA-SABA-S</t>
  </si>
  <si>
    <t>Forest Development Agency, S. K. Himmatnagar (South)</t>
  </si>
  <si>
    <t>GUJ-FE-AB-FDA-DANG-S</t>
  </si>
  <si>
    <t>Forest Development Agency, Ahwa Dang (South)</t>
  </si>
  <si>
    <t>GUJ-FE-AB-FDA-SURAT</t>
  </si>
  <si>
    <t>Forest Development Agency, Surat</t>
  </si>
  <si>
    <t>GUJ-FE-AB-FDA-VYAR</t>
  </si>
  <si>
    <t>Forest Development Agency, Vyara</t>
  </si>
  <si>
    <t>GUJ-FE-AB-FDA-DANG-N</t>
  </si>
  <si>
    <t>Forest Development Agency, Dang North</t>
  </si>
  <si>
    <t>GUJ-FE-AB-FDA-BANA</t>
  </si>
  <si>
    <t>Forest Development Agency, Banaskantha</t>
  </si>
  <si>
    <t>GUJ-FE-AB-FDA-GNR</t>
  </si>
  <si>
    <t>Forest Development Agency, Gandhinagar</t>
  </si>
  <si>
    <t>GUJ-FE-AB-FDA-PATA</t>
  </si>
  <si>
    <t>Forest Development Agency, Patan</t>
  </si>
  <si>
    <t>GUJ-FE-AB-FDA-KACH-E</t>
  </si>
  <si>
    <t>Forest Development Agency, Kutch-East</t>
  </si>
  <si>
    <t>GUJ-FE-AB-FDA-KACH-W</t>
  </si>
  <si>
    <t>Forest Development Agency, Kutch-West</t>
  </si>
  <si>
    <t>GUJ-FE-AB-FDA-KHED</t>
  </si>
  <si>
    <t>Forest Development Agency, Kheda</t>
  </si>
  <si>
    <t>GUJ-FE-AB-FDA-GIRS-E</t>
  </si>
  <si>
    <t>Forest Development Agency, Gir-East</t>
  </si>
  <si>
    <t>GUJ-FE-AB-FDA-ARAV</t>
  </si>
  <si>
    <t>Forest Development Agency, Aravalli, Modasa</t>
  </si>
  <si>
    <t>GUJ-FE-AB-GPCB-RO-AMDAR</t>
  </si>
  <si>
    <t>Regional Office, Gujarat Pollution Control Board, Ahmedabad (Rural)</t>
  </si>
  <si>
    <t>GUJ-FE-AB-GPCB-RO-GNR</t>
  </si>
  <si>
    <t>Regional Office, Gujarat Pollution Control Board, Gandhinagar</t>
  </si>
  <si>
    <t>GUJ-FE-AB-GPCB-RO-RAJK</t>
  </si>
  <si>
    <t>Regional Office, Gujarat Pollution Control Board, Rajkot</t>
  </si>
  <si>
    <t>GUJ-FE-AB-GPCB-VERA</t>
  </si>
  <si>
    <t>Regional Office, GPCB, Veraval</t>
  </si>
  <si>
    <t>GUJ-FE-GPCB-BHAR</t>
  </si>
  <si>
    <t>Regional Office, GPCB, Bharuch</t>
  </si>
  <si>
    <t>GUJ-FE-GPCB-BHAV</t>
  </si>
  <si>
    <t>Regional Office, GPCB, Bhavnagar</t>
  </si>
  <si>
    <t>GUJ-FE-GPCB-JAMN</t>
  </si>
  <si>
    <t>Regional Office GPCB Jamnagar</t>
  </si>
  <si>
    <t>GUJ-FE-GPCB-JUNA</t>
  </si>
  <si>
    <t>Regional Office, GPCB, Junagadh</t>
  </si>
  <si>
    <t>GUJ-FE-GPCB-NAVA</t>
  </si>
  <si>
    <t>Regional Office, GPCB, Navsari</t>
  </si>
  <si>
    <t>GUJ-FE-GPCB-PORB</t>
  </si>
  <si>
    <t>Regional Office, GPCB Porbandar</t>
  </si>
  <si>
    <t>GUJ-FE-GPCB-SURAT</t>
  </si>
  <si>
    <t>Regional Office, GPCB, Surat</t>
  </si>
  <si>
    <t>GUJ-FE-GPCB-VAPI</t>
  </si>
  <si>
    <t>Regional Office, GPCB, Vapi</t>
  </si>
  <si>
    <t>GUJ-FE-RNG-IU-AANKO</t>
  </si>
  <si>
    <t>AANKOLVADI RANGE</t>
  </si>
  <si>
    <t>GUJ-FE-RNG-IU-AATAR</t>
  </si>
  <si>
    <t>AATARSUBA RANGE</t>
  </si>
  <si>
    <t>GUJ-FE-RNG-IU-ADESAR-1</t>
  </si>
  <si>
    <t>ADESAR RANGE-1</t>
  </si>
  <si>
    <t>GUJ-FE-RNG-IU-ADESAR-2</t>
  </si>
  <si>
    <t>ADESAR RANGE-2</t>
  </si>
  <si>
    <t>GUJ-FE-RNG-IU-AHWA-E</t>
  </si>
  <si>
    <t>AHWA (E) RANGE</t>
  </si>
  <si>
    <t>GUJ-FE-RNG-IU-AHWA-W</t>
  </si>
  <si>
    <t>AHWA (W) RANGE</t>
  </si>
  <si>
    <t>GUJ-FE-RNG-IU-AMBA-N</t>
  </si>
  <si>
    <t>AMBAJI (N) RANGE</t>
  </si>
  <si>
    <t>GUJ-FE-RNG-IU-AMBA-S</t>
  </si>
  <si>
    <t>AMBAJI (S) RANGE</t>
  </si>
  <si>
    <t>GUJ-FE-RNG-IU-AMIR</t>
  </si>
  <si>
    <t>AMIRGADH RANGE</t>
  </si>
  <si>
    <t>GUJ-FE-RNG-IU-ANJAR</t>
  </si>
  <si>
    <t>ANJAR RANGE</t>
  </si>
  <si>
    <t>GUJ-FE-RNG-IU-BABA</t>
  </si>
  <si>
    <t>BABARIYA RANGE</t>
  </si>
  <si>
    <t>GUJ-FE-RNG-IU-BAJA</t>
  </si>
  <si>
    <t>BAJANA RANGE</t>
  </si>
  <si>
    <t>GUJ-FE-RNG-IU-BALASHINOR</t>
  </si>
  <si>
    <t>BALASHINOR RANGE</t>
  </si>
  <si>
    <t>GUJ-FE-RNG-IU-BARDI</t>
  </si>
  <si>
    <t>BARDIPADA RANGE</t>
  </si>
  <si>
    <t>GUJ-FE-RNG-IU-BARIA</t>
  </si>
  <si>
    <t>BARIA RANGE</t>
  </si>
  <si>
    <t>GUJ-FE-RNG-IU-BERDO</t>
  </si>
  <si>
    <t>BERDO (NAKHATRANA)</t>
  </si>
  <si>
    <t>GUJ-FE-RNG-IU-BHACHAU</t>
  </si>
  <si>
    <t>BHACHAU RANGE</t>
  </si>
  <si>
    <t>GUJ-FE-RNG-IU-BHAG</t>
  </si>
  <si>
    <t>Bhagvad Normal Range</t>
  </si>
  <si>
    <t>GUJ-FE-RNG-IU-BHARUCH</t>
  </si>
  <si>
    <t>BHARUCH RANGE</t>
  </si>
  <si>
    <t>GUJ-FE-RNG-IU-BHATI</t>
  </si>
  <si>
    <t>BHATIYA RANGE</t>
  </si>
  <si>
    <t>GUJ-FE-RNG-IU-BHAVNA</t>
  </si>
  <si>
    <t>BHAVNAGAR RANGE</t>
  </si>
  <si>
    <t>GUJ-FE-RNG-IU-BHES</t>
  </si>
  <si>
    <t>BHESKATRI RENGE</t>
  </si>
  <si>
    <t>GUJ-FE-RNG-IU-BHILO</t>
  </si>
  <si>
    <t>BHILODA RANGE</t>
  </si>
  <si>
    <t>GUJ-FE-RNG-IU-BHIREN</t>
  </si>
  <si>
    <t>BHIRENDIARA (BHUJ)</t>
  </si>
  <si>
    <t>GUJ-FE-RNG-IU-BHUJ-N</t>
  </si>
  <si>
    <t>BHUJ (N) RANGE</t>
  </si>
  <si>
    <t>GUJ-FE-RNG-IU-BHUJ-S</t>
  </si>
  <si>
    <t>BHUJ (S) RANGE</t>
  </si>
  <si>
    <t>GUJ-FE-RNG-IU-BHUJ-W</t>
  </si>
  <si>
    <t>BHUJ (W) RANGE</t>
  </si>
  <si>
    <t>GUJ-FE-RNG-IU-BODELI-NEW</t>
  </si>
  <si>
    <t>BODELI RANGE (New)</t>
  </si>
  <si>
    <t>GUJ-FE-RNG-IU-BORIAD</t>
  </si>
  <si>
    <t>BORIAD RANGE</t>
  </si>
  <si>
    <t>GUJ-FE-RNG-IU-BORJI</t>
  </si>
  <si>
    <t>BORIJ RANGE, GANDHINAGAR</t>
  </si>
  <si>
    <t>GUJ-FE-RNG-IU-CHANASMA</t>
  </si>
  <si>
    <t>EXTN. CHANASMA RANGE</t>
  </si>
  <si>
    <t>GUJ-FE-RNG-IU-CHER</t>
  </si>
  <si>
    <t>CHER RANGE</t>
  </si>
  <si>
    <t>GUJ-FE-RNG-IU-CHER-MOR</t>
  </si>
  <si>
    <t>Cher Range-MORBI (Post transfer From Rajkot Circle office)</t>
  </si>
  <si>
    <t>GUJ-FE-RNG-IU-CHHOD</t>
  </si>
  <si>
    <t>CHHODAVADI RANGE</t>
  </si>
  <si>
    <t>GUJ-FE-RNG-IU-CHHOTAUDEP</t>
  </si>
  <si>
    <t>CHHOTAUDEPUR RANGE</t>
  </si>
  <si>
    <t>GUJ-FE-RNG-IU-CHICHI</t>
  </si>
  <si>
    <t>CHICHINAGAVTHA RANGE</t>
  </si>
  <si>
    <t>GUJ-FE-RNG-IU-CHIKH-1</t>
  </si>
  <si>
    <t>CHIKHLI RANGE-1</t>
  </si>
  <si>
    <t>GUJ-FE-RNG-IU-CHIKH-2</t>
  </si>
  <si>
    <t>CHIKHLI RANGE-2</t>
  </si>
  <si>
    <t>GUJ-FE-RNG-IU-CHOT</t>
  </si>
  <si>
    <t>CHOTILA RANGE</t>
  </si>
  <si>
    <t>GUJ-FE-RNG-IU-COM-PLNT-PLN</t>
  </si>
  <si>
    <t>COMPENSATOR PLANT, PALANPUR</t>
  </si>
  <si>
    <t>GUJ-FE-RNG-IU-CR-HAN</t>
  </si>
  <si>
    <t>CITY RANGE, HANSOL</t>
  </si>
  <si>
    <t>GUJ-FE-RNG-IU-CUR-RAJPI</t>
  </si>
  <si>
    <t>CURATOR, RAJPIPLA</t>
  </si>
  <si>
    <t>GUJ-FE-RNG-IU-DAHOD</t>
  </si>
  <si>
    <t>DAHOD RANGE</t>
  </si>
  <si>
    <t>GUJ-FE-RNG-IU-DALKH</t>
  </si>
  <si>
    <t>DALKHANIYA RANGE</t>
  </si>
  <si>
    <t>GUJ-FE-RNG-IU-DAN-E</t>
  </si>
  <si>
    <t>DANTA (E) RANGE</t>
  </si>
  <si>
    <t>GUJ-FE-RNG-IU-DAN-W</t>
  </si>
  <si>
    <t>DANTA (W) RANGE</t>
  </si>
  <si>
    <t>GUJ-FE-RNG-IU-DANTI</t>
  </si>
  <si>
    <t>DANTIVADA RANGE</t>
  </si>
  <si>
    <t>GUJ-FE-RNG-IU-DAYAPAR-N-WL</t>
  </si>
  <si>
    <t>DAYAPAR (N) WL RANGE</t>
  </si>
  <si>
    <t>GUJ-FE-RNG-IU-DAYAPAR-S-WL</t>
  </si>
  <si>
    <t>DAYAPAR (S) WL RANGE</t>
  </si>
  <si>
    <t>GUJ-FE-RNG-IU-DEDA</t>
  </si>
  <si>
    <t>DEDAKADI RANGE</t>
  </si>
  <si>
    <t>GUJ-FE-RNG-IU-DEDI</t>
  </si>
  <si>
    <t>DEDIYAPADA RANGE</t>
  </si>
  <si>
    <t>GUJ-FE-RNG-IU-DEHGAM</t>
  </si>
  <si>
    <t>DEHGAM RANGE</t>
  </si>
  <si>
    <t>GUJ-FE-RNG-IU-DEMO-GODH</t>
  </si>
  <si>
    <t>DEMO., GODHRA RANGE</t>
  </si>
  <si>
    <t>GUJ-FE-RNG-IU-DEMO-JUNA</t>
  </si>
  <si>
    <t>DEMO., JUNAGADH RANGE</t>
  </si>
  <si>
    <t>GUJ-FE-RNG-IU-DESO-DESSA</t>
  </si>
  <si>
    <t>DEMO., DESSA RANGE</t>
  </si>
  <si>
    <t>GUJ-FE-RNG-IU-DEVA</t>
  </si>
  <si>
    <t>DEVADIYA RANGE</t>
  </si>
  <si>
    <t>GUJ-FE-RNG-IU-DFS-GODHRA</t>
  </si>
  <si>
    <t>DFS, GODHRA</t>
  </si>
  <si>
    <t>GUJ-FE-RNG-IU-DHANPUR</t>
  </si>
  <si>
    <t>DHANPUR RANGE</t>
  </si>
  <si>
    <t>GUJ-FE-RNG-IU-DHAR</t>
  </si>
  <si>
    <t>DHRANGADHRA RANGE</t>
  </si>
  <si>
    <t>GUJ-FE-RNG-IU-DHARAM</t>
  </si>
  <si>
    <t>DHARAMPUR RANGE</t>
  </si>
  <si>
    <t>GUJ-FE-RNG-IU-DHARGHADH</t>
  </si>
  <si>
    <t>DRANGHADHRA RANGE</t>
  </si>
  <si>
    <t>GUJ-FE-RNG-IU-DHAROI</t>
  </si>
  <si>
    <t>DHAROI RANGE</t>
  </si>
  <si>
    <t>GUJ-FE-RNG-IU-DHAROL</t>
  </si>
  <si>
    <t>DHROL RANGE</t>
  </si>
  <si>
    <t>GUJ-FE-RNG-IU-DHOLVANI</t>
  </si>
  <si>
    <t>DHOLVANI RANGE</t>
  </si>
  <si>
    <t>GUJ-FE-RNG-IU-DITWAS</t>
  </si>
  <si>
    <t>DITWAS</t>
  </si>
  <si>
    <t>GUJ-FE-RNG-IU-DOLARIYA</t>
  </si>
  <si>
    <t>DOLARIYA RANGE</t>
  </si>
  <si>
    <t>GUJ-FE-RNG-IU-DRVP-PLN</t>
  </si>
  <si>
    <t>DRVP. PALANPUR RANGE</t>
  </si>
  <si>
    <t>GUJ-FE-RNG-IU-DUMMAS</t>
  </si>
  <si>
    <t>DUMMAS RANGE</t>
  </si>
  <si>
    <t>GUJ-FE-RNG-IU-DUNGAR-N</t>
  </si>
  <si>
    <t>DUNGAR(N) RANGE</t>
  </si>
  <si>
    <t>GUJ-FE-RNG-IU-DUNGAR-S</t>
  </si>
  <si>
    <t>DUNGAR (S) RANGE</t>
  </si>
  <si>
    <t>GUJ-FE-RNG-IU-DWARKA-1</t>
  </si>
  <si>
    <t>DWARKA RANGE-1</t>
  </si>
  <si>
    <t>GUJ-FE-RNG-IU-DWARKA-2</t>
  </si>
  <si>
    <t>DWARKA RANGE-2</t>
  </si>
  <si>
    <t>GUJ-FE-RNG-IU-EXT-MANDAL</t>
  </si>
  <si>
    <t>EXT. MANDAL</t>
  </si>
  <si>
    <t>GUJ-FE-RNG-IU-EXTN-AMIR</t>
  </si>
  <si>
    <t>EXTN. AMIRGHAD RANGE</t>
  </si>
  <si>
    <t>GUJ-FE-RNG-IU-EXTN-AMOD</t>
  </si>
  <si>
    <t>EXTN. AMOD RANGE</t>
  </si>
  <si>
    <t>GUJ-FE-RNG-IU-EXTN-AMR</t>
  </si>
  <si>
    <t>EXTN. AMRELI RANGE</t>
  </si>
  <si>
    <t>GUJ-FE-RNG-IU-EXTN-ANAND</t>
  </si>
  <si>
    <t>EXTN. ANAND RANGE</t>
  </si>
  <si>
    <t>GUJ-FE-RNG-IU-EXTN-ANJAR</t>
  </si>
  <si>
    <t>EXTN. ANJAR RANGE</t>
  </si>
  <si>
    <t>GUJ-FE-RNG-IU-EXTN-ANKLA</t>
  </si>
  <si>
    <t>EXTN. ANKLAV RANGE</t>
  </si>
  <si>
    <t>GUJ-FE-RNG-IU-EXTN-ANKLE</t>
  </si>
  <si>
    <t>EXTN. ANKLESHWAR RANGE</t>
  </si>
  <si>
    <t>GUJ-FE-RNG-IU-EXTN-BABRA</t>
  </si>
  <si>
    <t>EXTN. BABRA RANGE</t>
  </si>
  <si>
    <t>GUJ-FE-RNG-IU-EXTN-BAHE</t>
  </si>
  <si>
    <t>EXTN. BAHECHARAJI RANGE</t>
  </si>
  <si>
    <t>GUJ-FE-RNG-IU-EXTN-BARD</t>
  </si>
  <si>
    <t>EXTN. BARDOLI RANGE</t>
  </si>
  <si>
    <t>GUJ-FE-RNG-IU-EXTN-BARIA</t>
  </si>
  <si>
    <t>EXTN. BARIA RANGE</t>
  </si>
  <si>
    <t>GUJ-FE-RNG-IU-EXTN-BARVA</t>
  </si>
  <si>
    <t>EXTN.BARVALA RANGE</t>
  </si>
  <si>
    <t>GUJ-FE-RNG-IU-EXTN-BAVLA</t>
  </si>
  <si>
    <t>EXTN BAVLA RANGE</t>
  </si>
  <si>
    <t>GUJ-FE-RNG-IU-EXTN-BAYAD</t>
  </si>
  <si>
    <t>EXTN. BAYAD RANGE</t>
  </si>
  <si>
    <t>GUJ-FE-RNG-IU-EXTN-BHABH</t>
  </si>
  <si>
    <t>EXTN. BHABHAR RANGE</t>
  </si>
  <si>
    <t>GUJ-FE-RNG-IU-EXTN-BHACHAU</t>
  </si>
  <si>
    <t>EXTN. BHACHAU RANGE</t>
  </si>
  <si>
    <t>GUJ-FE-RNG-IU-EXTN-BHAN</t>
  </si>
  <si>
    <t>EXTN. BHANVAD RANGE</t>
  </si>
  <si>
    <t>GUJ-FE-RNG-IU-EXTN-BHAR</t>
  </si>
  <si>
    <t>EXTN. BHARUCH RANGE</t>
  </si>
  <si>
    <t>GUJ-FE-RNG-IU-EXTN-BHAV</t>
  </si>
  <si>
    <t>EXTN. BHAVNAGAR RANGE</t>
  </si>
  <si>
    <t>GUJ-FE-RNG-IU-EXTN-BHE</t>
  </si>
  <si>
    <t>EXTN. BHESAN RANGE</t>
  </si>
  <si>
    <t>GUJ-FE-RNG-IU-EXTN-BHILO</t>
  </si>
  <si>
    <t>EXTN., BHILODA RANGE</t>
  </si>
  <si>
    <t>GUJ-FE-RNG-IU-EXTN-BHUJ</t>
  </si>
  <si>
    <t>EXTN.BHUJ RANGE</t>
  </si>
  <si>
    <t>GUJ-FE-RNG-IU-EXTN-BOR</t>
  </si>
  <si>
    <t>EXTN. BORSAD RANGE</t>
  </si>
  <si>
    <t>GUJ-FE-RNG-IU-EXTN-BOTAD</t>
  </si>
  <si>
    <t>EXTN. BOTAD RANGE</t>
  </si>
  <si>
    <t>GUJ-FE-RNG-IU-EXTN-CHIKH</t>
  </si>
  <si>
    <t>EXTN. CHIKHLI RANGE</t>
  </si>
  <si>
    <t>GUJ-FE-RNG-IU-EXTN-CHOR</t>
  </si>
  <si>
    <t>EXTN. CHORYASI RANGE</t>
  </si>
  <si>
    <t>GUJ-FE-RNG-IU-EXTN-CHOT</t>
  </si>
  <si>
    <t>EXTN. CHOTILA RANGE</t>
  </si>
  <si>
    <t>GUJ-FE-RNG-IU-EXTN-CHOUDPR</t>
  </si>
  <si>
    <t>EXTN. CHHOTAUDEPUR RANGE</t>
  </si>
  <si>
    <t>GUJ-FE-RNG-IU-EXTN-CHUD</t>
  </si>
  <si>
    <t>Ext. CHUDA</t>
  </si>
  <si>
    <t>GUJ-FE-RNG-IU-EXTN-DABHO</t>
  </si>
  <si>
    <t>EXTN. DABHOI RANGE</t>
  </si>
  <si>
    <t>GUJ-FE-RNG-IU-EXTN-DAHO</t>
  </si>
  <si>
    <t>EXTN. DAHOD RANGE</t>
  </si>
  <si>
    <t>GUJ-FE-RNG-IU-EXTN-DASK</t>
  </si>
  <si>
    <t>EXTN. DASKROI RANGE</t>
  </si>
  <si>
    <t>GUJ-FE-RNG-IU-EXTN-DATI</t>
  </si>
  <si>
    <t>EXTN. DATIVADA RANGE</t>
  </si>
  <si>
    <t>GUJ-FE-RNG-IU-EXTN-DAYAPAR</t>
  </si>
  <si>
    <t>EXTN. DAYAPAR RANGE</t>
  </si>
  <si>
    <t>GUJ-FE-RNG-IU-EXTN-DEDI</t>
  </si>
  <si>
    <t>EXTN. DEDIYAPADA RANGE</t>
  </si>
  <si>
    <t>GUJ-FE-RNG-IU-EXTN-DET</t>
  </si>
  <si>
    <t>EXTN DETROJ</t>
  </si>
  <si>
    <t>GUJ-FE-RNG-IU-EXTN-DHAN-E</t>
  </si>
  <si>
    <t>EXTN. DHANDHUKA (E) RANGE</t>
  </si>
  <si>
    <t>GUJ-FE-RNG-IU-EXTN-DHANPURA</t>
  </si>
  <si>
    <t>EXT. DHANPURA RANGE</t>
  </si>
  <si>
    <t>GUJ-FE-RNG-IU-EXTN-DHANSU</t>
  </si>
  <si>
    <t>EXTN., DHANSURA RANGE</t>
  </si>
  <si>
    <t>GUJ-FE-RNG-IU-EXTN-DHAR</t>
  </si>
  <si>
    <t>EXTN. DHRANGDHRA RANGE</t>
  </si>
  <si>
    <t>GUJ-FE-RNG-IU-EXTN-DHARI</t>
  </si>
  <si>
    <t>EXTN. DHARI RANGE</t>
  </si>
  <si>
    <t>GUJ-FE-RNG-IU-EXTN-DHARM</t>
  </si>
  <si>
    <t>EXTN. DHARAMPUR RANGE</t>
  </si>
  <si>
    <t>GUJ-FE-RNG-IU-EXTN-DHOL</t>
  </si>
  <si>
    <t>EXTN. DHOLKA RANGE</t>
  </si>
  <si>
    <t>GUJ-FE-RNG-IU-EXTN-DHOLE</t>
  </si>
  <si>
    <t>EXT. DHOLERA RANGE</t>
  </si>
  <si>
    <t>GUJ-FE-RNG-IU-EXTN-DHOR</t>
  </si>
  <si>
    <t>EXTN. DHORAJI RANGE</t>
  </si>
  <si>
    <t>GUJ-FE-RNG-IU-EXTN-DHROL</t>
  </si>
  <si>
    <t>EXTN. DHROLL RANGE</t>
  </si>
  <si>
    <t>GUJ-FE-RNG-IU-EXTN-DWAR</t>
  </si>
  <si>
    <t>EXTN. DWARKA RANGE</t>
  </si>
  <si>
    <t>GUJ-FE-RNG-IU-EXTN-FATEHP</t>
  </si>
  <si>
    <t>EXT.FATEPURA</t>
  </si>
  <si>
    <t>GUJ-FE-RNG-IU-EXTN-GADH</t>
  </si>
  <si>
    <t>EXTN. GADHADA RANGE</t>
  </si>
  <si>
    <t>GUJ-FE-RNG-IU-EXTN-GALIYA</t>
  </si>
  <si>
    <t>Ext. GALIYADHAR Range (Transfer Post from CFP)</t>
  </si>
  <si>
    <t>GUJ-FE-RNG-IU-EXTN-GAND</t>
  </si>
  <si>
    <t>EXTN. GANDEVI RANGE</t>
  </si>
  <si>
    <t>GUJ-FE-RNG-IU-EXTN-GARBA</t>
  </si>
  <si>
    <t>EXT. GARBADA RANGE</t>
  </si>
  <si>
    <t>GUJ-FE-RNG-IU-EXTN-GHOGHA</t>
  </si>
  <si>
    <t>EXTN. GHOGHA RANGE</t>
  </si>
  <si>
    <t>GUJ-FE-RNG-IU-EXTN-GHOGHAMBA</t>
  </si>
  <si>
    <t>EXTN. GHOGHAMBA RANGE</t>
  </si>
  <si>
    <t>GUJ-FE-RNG-IU-EXTN-GIR-GADHA</t>
  </si>
  <si>
    <t>Ext. Gir GADHADA RANGE (Newrange ) Post transfer RFO-TA-Gir Somnath Div.)</t>
  </si>
  <si>
    <t>GUJ-FE-RNG-IU-EXTN-GODH</t>
  </si>
  <si>
    <t>EXTN. GODHRA RANGE</t>
  </si>
  <si>
    <t>GUJ-FE-RNG-IU-EXTN-HALOL</t>
  </si>
  <si>
    <t>EXTN. HALOL RANGE</t>
  </si>
  <si>
    <t>GUJ-FE-RNG-IU-EXTN-HALVAD</t>
  </si>
  <si>
    <t>EXTN. HALVAD RANGE</t>
  </si>
  <si>
    <t>GUJ-FE-RNG-IU-EXTN-HIM</t>
  </si>
  <si>
    <t>EXTN. HIMMATNAGAR RANGE</t>
  </si>
  <si>
    <t>GUJ-FE-RNG-IU-EXTN-IDAR</t>
  </si>
  <si>
    <t>EXTN., IDAR RANGE</t>
  </si>
  <si>
    <t>GUJ-FE-RNG-IU-EXTN-JAM</t>
  </si>
  <si>
    <t>EXTN. JAMNAGAR RANGE</t>
  </si>
  <si>
    <t>GUJ-FE-RNG-IU-EXTN-JAM-JODH</t>
  </si>
  <si>
    <t>EXTN. JAM JODHPUR RANGE</t>
  </si>
  <si>
    <t>GUJ-FE-RNG-IU-EXTN-JAM-KAN</t>
  </si>
  <si>
    <t>EXTN. JAM KANDORANA RANGE</t>
  </si>
  <si>
    <t>GUJ-FE-RNG-IU-EXTN-JAMBU</t>
  </si>
  <si>
    <t>EXTN. JAMBUSAR RANGE</t>
  </si>
  <si>
    <t>GUJ-FE-RNG-IU-EXTN-JAMBUGHO</t>
  </si>
  <si>
    <t>EXTN. JAMBUGHODA RANGE</t>
  </si>
  <si>
    <t>GUJ-FE-RNG-IU-EXTN-JET</t>
  </si>
  <si>
    <t>EXTN. JETPUR RANGE</t>
  </si>
  <si>
    <t>GUJ-FE-RNG-IU-EXTN-JUNA</t>
  </si>
  <si>
    <t>EXTN. JUNAGADH RANGE</t>
  </si>
  <si>
    <t>GUJ-FE-RNG-IU-EXTN-KAD</t>
  </si>
  <si>
    <t>EXTN KADANA</t>
  </si>
  <si>
    <t>GUJ-FE-RNG-IU-EXTN-KADI</t>
  </si>
  <si>
    <t>EXTN., KADI RANGE</t>
  </si>
  <si>
    <t>GUJ-FE-RNG-IU-EXTN-KALA</t>
  </si>
  <si>
    <t>EXTN. KALAWAD RANGE</t>
  </si>
  <si>
    <t>GUJ-FE-RNG-IU-EXTN-KALOL</t>
  </si>
  <si>
    <t>EXTN. KALOL RANGE</t>
  </si>
  <si>
    <t>GUJ-FE-RNG-IU-EXTN-KALYA</t>
  </si>
  <si>
    <t>EXTN. KALYANPUR RANGE</t>
  </si>
  <si>
    <t>GUJ-FE-RNG-IU-EXTN-KAMR</t>
  </si>
  <si>
    <t>EXTN. KAMREJ RANGE</t>
  </si>
  <si>
    <t>GUJ-FE-RNG-IU-EXTN-KAPAD</t>
  </si>
  <si>
    <t>EXTN. KAPADVANJ RANGE</t>
  </si>
  <si>
    <t>GUJ-FE-RNG-IU-EXTN-KARJ</t>
  </si>
  <si>
    <t>EXTN. KARJAN RANGE</t>
  </si>
  <si>
    <t>GUJ-FE-RNG-IU-EXTN-KATH</t>
  </si>
  <si>
    <t>EXTN. KATHLAL RANGE</t>
  </si>
  <si>
    <t>GUJ-FE-RNG-IU-EXTN-KEHSO</t>
  </si>
  <si>
    <t>EXTN. KESHOD RANGE</t>
  </si>
  <si>
    <t>GUJ-FE-RNG-IU-EXTN-KHAMBH</t>
  </si>
  <si>
    <t>EXTN. KHAMBHAT RANGE</t>
  </si>
  <si>
    <t>GUJ-FE-RNG-IU-EXTN-KHAMBHALIYA</t>
  </si>
  <si>
    <t>EXTN. KHAMBHALIYA RANGE</t>
  </si>
  <si>
    <t>GUJ-FE-RNG-IU-EXTN-KHAN</t>
  </si>
  <si>
    <t>EXTN. KHANPUR RANGE</t>
  </si>
  <si>
    <t>GUJ-FE-RNG-IU-EXTN-KHED</t>
  </si>
  <si>
    <t>EXTN. KHEDA</t>
  </si>
  <si>
    <t>GUJ-FE-RNG-IU-EXTN-KHEDBR</t>
  </si>
  <si>
    <t>EXTN. KHEDBRAHMA RANGE</t>
  </si>
  <si>
    <t>GUJ-FE-RNG-IU-EXTN-KHER</t>
  </si>
  <si>
    <t>EXTN., KHERALU RANGE</t>
  </si>
  <si>
    <t>GUJ-FE-RNG-IU-EXTN-KODI</t>
  </si>
  <si>
    <t>EXTN. KODINAR RANGE</t>
  </si>
  <si>
    <t>GUJ-FE-RNG-IU-EXTN-KOTA</t>
  </si>
  <si>
    <t>EXTN. KOTADA SANGANI RANGE (old name Ext. Gongal Range)</t>
  </si>
  <si>
    <t>GUJ-FE-RNG-IU-EXTN-KUKA</t>
  </si>
  <si>
    <t>EXTN. KUKAVAV RANGE</t>
  </si>
  <si>
    <t>GUJ-FE-RNG-IU-EXTN-LAKH</t>
  </si>
  <si>
    <t>EXTN. LAKHTAR RANGE</t>
  </si>
  <si>
    <t>GUJ-FE-RNG-IU-EXTN-LAL</t>
  </si>
  <si>
    <t>EXTN. LALPUR RANGE</t>
  </si>
  <si>
    <t>GUJ-FE-RNG-IU-EXTN-LATHI</t>
  </si>
  <si>
    <t>EXTN. LATHI RANGE</t>
  </si>
  <si>
    <t>GUJ-FE-RNG-IU-EXTN-LIM</t>
  </si>
  <si>
    <t>EXTN. LIMDI RANGE</t>
  </si>
  <si>
    <t>GUJ-FE-RNG-IU-EXTN-LIMKH</t>
  </si>
  <si>
    <t>EXTN. LIMKHEDA RANGE</t>
  </si>
  <si>
    <t>GUJ-FE-RNG-IU-EXTN-LUNA</t>
  </si>
  <si>
    <t>EXTN. LUNAVADA RANGE</t>
  </si>
  <si>
    <t>GUJ-FE-RNG-IU-EXTN-MAHEM</t>
  </si>
  <si>
    <t>EXTN. MAHEMDABAD RANGE</t>
  </si>
  <si>
    <t>GUJ-FE-RNG-IU-EXTN-MAHU</t>
  </si>
  <si>
    <t>EXTN. MAHUDHA</t>
  </si>
  <si>
    <t>GUJ-FE-RNG-IU-EXTN-MAHUVA</t>
  </si>
  <si>
    <t>EXTN. MAHUVA RANGE</t>
  </si>
  <si>
    <t>GUJ-FE-RNG-IU-EXTN-MALI</t>
  </si>
  <si>
    <t>EXTN. MALIYA RANGE</t>
  </si>
  <si>
    <t>GUJ-FE-RNG-IU-EXTN-MALI-HATI</t>
  </si>
  <si>
    <t>EXTN. MALIYA HATINA RANGE</t>
  </si>
  <si>
    <t>GUJ-FE-RNG-IU-EXTN-MALPUR</t>
  </si>
  <si>
    <t>EXTN., MALPUR RANGE</t>
  </si>
  <si>
    <t>GUJ-FE-RNG-IU-EXTN-MANA</t>
  </si>
  <si>
    <t>EXTN. MANAVADAR RANGE</t>
  </si>
  <si>
    <t>GUJ-FE-RNG-IU-EXTN-MANDVI-1</t>
  </si>
  <si>
    <t>EXTN. MANDVI RANGE-1</t>
  </si>
  <si>
    <t>GUJ-FE-RNG-IU-EXTN-MANDVI-2</t>
  </si>
  <si>
    <t>EXTN. MANDVI RANGE-2</t>
  </si>
  <si>
    <t>GUJ-FE-RNG-IU-EXTN-MANG-1</t>
  </si>
  <si>
    <t>EXTN. MANGROL RANGE-1</t>
  </si>
  <si>
    <t>GUJ-FE-RNG-IU-EXTN-MANG-2</t>
  </si>
  <si>
    <t>EXTN. MANGROL RANGE-2</t>
  </si>
  <si>
    <t>GUJ-FE-RNG-IU-EXTN-MATAR</t>
  </si>
  <si>
    <t>EXTN. MATAR RANGE</t>
  </si>
  <si>
    <t>GUJ-FE-RNG-IU-EXTN-MEGH</t>
  </si>
  <si>
    <t>EXTN. MEGHRAJ RANGE</t>
  </si>
  <si>
    <t>GUJ-FE-RNG-IU-EXTN-MEH</t>
  </si>
  <si>
    <t>EXTN., MEHSANA RANGE</t>
  </si>
  <si>
    <t>GUJ-FE-RNG-IU-EXTN-MEND</t>
  </si>
  <si>
    <t>EXTN. MENDARDA RANGE</t>
  </si>
  <si>
    <t>GUJ-FE-RNG-IU-EXTN-MODA</t>
  </si>
  <si>
    <t>EXTN. MODASA RANGE</t>
  </si>
  <si>
    <t>GUJ-FE-RNG-IU-EXTN-MORBI</t>
  </si>
  <si>
    <t>EXTN. MORBI RANGE</t>
  </si>
  <si>
    <t>GUJ-FE-RNG-IU-EXTN-MULI</t>
  </si>
  <si>
    <t>EXTN. MULI RANGE</t>
  </si>
  <si>
    <t>GUJ-FE-RNG-IU-EXTN-MUNDRA</t>
  </si>
  <si>
    <t>EXTN. MUNDRA RANGE</t>
  </si>
  <si>
    <t>GUJ-FE-RNG-IU-EXTN-NADI</t>
  </si>
  <si>
    <t>EXTN. NADIAD RANGE</t>
  </si>
  <si>
    <t>GUJ-FE-RNG-IU-EXTN-NAKHATR</t>
  </si>
  <si>
    <t>EXTN. NAKHATRANA RANGE</t>
  </si>
  <si>
    <t>GUJ-FE-RNG-IU-EXTN-NALIYA</t>
  </si>
  <si>
    <t>EXTN. NALIYA RANGE</t>
  </si>
  <si>
    <t>GUJ-FE-RNG-IU-EXTN-NAS</t>
  </si>
  <si>
    <t>EXTN. NASVADI RANGE</t>
  </si>
  <si>
    <t>GUJ-FE-RNG-IU-EXTN-OLPAD</t>
  </si>
  <si>
    <t>EXTN. OLPAD RANGE</t>
  </si>
  <si>
    <t>GUJ-FE-RNG-IU-EXTN-PADD</t>
  </si>
  <si>
    <t>EXTN. PADDHARI RANGE</t>
  </si>
  <si>
    <t>GUJ-FE-RNG-IU-EXTN-PADRA</t>
  </si>
  <si>
    <t>EXTN. PADRA RANGE</t>
  </si>
  <si>
    <t>GUJ-FE-RNG-IU-EXTN-PAL</t>
  </si>
  <si>
    <t>EXTN. PALSANA RANGE</t>
  </si>
  <si>
    <t>GUJ-FE-RNG-IU-EXTN-PALI</t>
  </si>
  <si>
    <t>EXTN. PALITANA RANGE</t>
  </si>
  <si>
    <t>GUJ-FE-RNG-IU-EXTN-PARDI</t>
  </si>
  <si>
    <t>EXTN. PARDI RANGE</t>
  </si>
  <si>
    <t>GUJ-FE-RNG-IU-EXTN-PATDI</t>
  </si>
  <si>
    <t>EXTN. PATDI RANGE</t>
  </si>
  <si>
    <t>GUJ-FE-RNG-IU-EXTN-PAVIJET</t>
  </si>
  <si>
    <t>EXTN. PAVIJETPUR RANGE</t>
  </si>
  <si>
    <t>GUJ-FE-RNG-IU-EXTN-PET</t>
  </si>
  <si>
    <t>EXTN. PETLAD RANGE</t>
  </si>
  <si>
    <t>GUJ-FE-RNG-IU-EXTN-POR-PTO</t>
  </si>
  <si>
    <t>EXTN. PORBANDAR (Protection)</t>
  </si>
  <si>
    <t>GUJ-FE-RNG-IU-EXTN-PP</t>
  </si>
  <si>
    <t>EXTN. PRABHAS PATAN RANGE (Old name : SUTRAPADA RANGE )</t>
  </si>
  <si>
    <t>GUJ-FE-RNG-IU-EXTN-PRAN</t>
  </si>
  <si>
    <t>EXTN., PRANTIJ RANGE</t>
  </si>
  <si>
    <t>GUJ-FE-RNG-IU-EXTN-RADHAN</t>
  </si>
  <si>
    <t>EXTN. RADHANPUR RANGE</t>
  </si>
  <si>
    <t>GUJ-FE-RNG-IU-EXTN-RAJ</t>
  </si>
  <si>
    <t>EXTN. RAJPIPLA RANGE</t>
  </si>
  <si>
    <t>GUJ-FE-RNG-IU-EXTN-RAJK-N</t>
  </si>
  <si>
    <t>EXTN.RAJKOT RANGE (N)</t>
  </si>
  <si>
    <t>GUJ-FE-RNG-IU-EXTN-RAJK-S</t>
  </si>
  <si>
    <t>EXTN.RAJKOT(S) RANGE</t>
  </si>
  <si>
    <t>GUJ-FE-RNG-IU-EXTN-RAJU</t>
  </si>
  <si>
    <t>EXTN. RAJULA RANGE</t>
  </si>
  <si>
    <t>GUJ-FE-RNG-IU-EXTN-RANA</t>
  </si>
  <si>
    <t>EXT. RANAVAV RANGE</t>
  </si>
  <si>
    <t>GUJ-FE-RNG-IU-EXTN-RANP</t>
  </si>
  <si>
    <t>EXTN. RANPUR</t>
  </si>
  <si>
    <t>GUJ-FE-RNG-IU-EXTN-RAPAR</t>
  </si>
  <si>
    <t>EXTN. RAPAR RANGE</t>
  </si>
  <si>
    <t>GUJ-FE-RNG-IU-EXTN-SAGBA</t>
  </si>
  <si>
    <t>EXTN. SAGBARA RANGE</t>
  </si>
  <si>
    <t>GUJ-FE-RNG-IU-EXTN-SAN</t>
  </si>
  <si>
    <t>EXTN. SANAND RANGE</t>
  </si>
  <si>
    <t>GUJ-FE-RNG-IU-EXTN-SANKH</t>
  </si>
  <si>
    <t>EXTN. SANKHEDA RANGE</t>
  </si>
  <si>
    <t>GUJ-FE-RNG-IU-EXTN-SANT-MORVA</t>
  </si>
  <si>
    <t>EXTN SANTROAD RANGE (MORVA)</t>
  </si>
  <si>
    <t>GUJ-FE-RNG-IU-EXTN-SANTAL</t>
  </si>
  <si>
    <t>EXTN. SANTALPUR RANGE</t>
  </si>
  <si>
    <t>GUJ-FE-RNG-IU-EXTN-SANTRAM</t>
  </si>
  <si>
    <t>EXTN. SANTRAMPUR RANGE</t>
  </si>
  <si>
    <t>GUJ-FE-RNG-IU-EXTN-SAVKNDLA</t>
  </si>
  <si>
    <t>EXTN. SAVARKUNDLA RANGE</t>
  </si>
  <si>
    <t>GUJ-FE-RNG-IU-EXTN-SAVLI</t>
  </si>
  <si>
    <t>EXTN. SAVLI RANGE</t>
  </si>
  <si>
    <t>GUJ-FE-RNG-IU-EXTN-SAYLA</t>
  </si>
  <si>
    <t>EXTN. SAYLA RANGE</t>
  </si>
  <si>
    <t>GUJ-FE-RNG-IU-EXTN-SHEHRA</t>
  </si>
  <si>
    <t>EXTN. SHEHRA RANGE</t>
  </si>
  <si>
    <t>GUJ-FE-RNG-IU-EXTN-SHIHOR</t>
  </si>
  <si>
    <t>EXTN. SHIHOR RANGE</t>
  </si>
  <si>
    <t>GUJ-FE-RNG-IU-EXTN-SHINO</t>
  </si>
  <si>
    <t>EXTN. SHINOR RANGE</t>
  </si>
  <si>
    <t>GUJ-FE-RNG-IU-EXTN-SIDDHAPUR</t>
  </si>
  <si>
    <t>EXTN. SIDDHAPUR RANGE</t>
  </si>
  <si>
    <t>GUJ-FE-RNG-IU-EXTN-SOJI</t>
  </si>
  <si>
    <t>EXTN. SOJITRA</t>
  </si>
  <si>
    <t>GUJ-FE-RNG-IU-EXTN-SON</t>
  </si>
  <si>
    <t>EXTN. SONGADH RANGE</t>
  </si>
  <si>
    <t>GUJ-FE-RNG-IU-EXTN-SUPA</t>
  </si>
  <si>
    <t>EXTN. SUPA RANGE</t>
  </si>
  <si>
    <t>GUJ-FE-RNG-IU-EXTN-SURE</t>
  </si>
  <si>
    <t>EXTN. SURENDRANAGAR RANGE</t>
  </si>
  <si>
    <t>GUJ-FE-RNG-IU-EXTN-TALAJA</t>
  </si>
  <si>
    <t>EXTN. TALAJA RANGE</t>
  </si>
  <si>
    <t>GUJ-FE-RNG-IU-EXTN-TALOD</t>
  </si>
  <si>
    <t>EXTN. TALOD RANGE</t>
  </si>
  <si>
    <t>GUJ-FE-RNG-IU-EXTN-TAN</t>
  </si>
  <si>
    <t>Ext.Tankara Range</t>
  </si>
  <si>
    <t>GUJ-FE-RNG-IU-EXTN-TARA</t>
  </si>
  <si>
    <t>EXTN TARAPUR</t>
  </si>
  <si>
    <t>GUJ-FE-RNG-IU-EXTN-THARAD</t>
  </si>
  <si>
    <t>EXTN. THARAD RANGE</t>
  </si>
  <si>
    <t>GUJ-FE-RNG-IU-EXTN-THAS</t>
  </si>
  <si>
    <t>EXTN. THASRA RANGE</t>
  </si>
  <si>
    <t>GUJ-FE-RNG-IU-EXTN-TILAK</t>
  </si>
  <si>
    <t>EXTN. TILAKWADA RANGE</t>
  </si>
  <si>
    <t>GUJ-FE-RNG-IU-EXTN-UCHH</t>
  </si>
  <si>
    <t>EXTN. UCHHAL RANGE</t>
  </si>
  <si>
    <t>GUJ-FE-RNG-IU-EXTN-UMAR</t>
  </si>
  <si>
    <t>EXTN. UMARGAM RANGE</t>
  </si>
  <si>
    <t>GUJ-FE-RNG-IU-EXTN-UMRA</t>
  </si>
  <si>
    <t>EXTN. UMRALA RANGE</t>
  </si>
  <si>
    <t>GUJ-FE-RNG-IU-EXTN-UMRE</t>
  </si>
  <si>
    <t>EXTN. UMRETH RANGE</t>
  </si>
  <si>
    <t>GUJ-FE-RNG-IU-EXTN-UNA</t>
  </si>
  <si>
    <t>EXTN. UNA RANGE</t>
  </si>
  <si>
    <t>GUJ-FE-RNG-IU-EXTN-UNZA</t>
  </si>
  <si>
    <t>EXTN. UNZA RANGE</t>
  </si>
  <si>
    <t>GUJ-FE-RNG-IU-EXTN-UPLE</t>
  </si>
  <si>
    <t>EXTN. UPLETA RANGE</t>
  </si>
  <si>
    <t>GUJ-FE-RNG-IU-EXTN-VADA</t>
  </si>
  <si>
    <t>EXTN. VADALI RANGE</t>
  </si>
  <si>
    <t>GUJ-FE-RNG-IU-EXTN-VADN</t>
  </si>
  <si>
    <t>EXTN., VADNAGAR RANGE</t>
  </si>
  <si>
    <t>GUJ-FE-RNG-IU-EXTN-VADO</t>
  </si>
  <si>
    <t>EXTN. VADODARA RANGE</t>
  </si>
  <si>
    <t>GUJ-FE-RNG-IU-EXTN-VAGH</t>
  </si>
  <si>
    <t>EXTN. VAGHODIYA RANGE</t>
  </si>
  <si>
    <t>GUJ-FE-RNG-IU-EXTN-VAGRA</t>
  </si>
  <si>
    <t>EXTN. VAGRA RANGE</t>
  </si>
  <si>
    <t>GUJ-FE-RNG-IU-EXTN-VALIA</t>
  </si>
  <si>
    <t>EXTN. VALIA RANGE</t>
  </si>
  <si>
    <t>GUJ-FE-RNG-IU-EXTN-VALS</t>
  </si>
  <si>
    <t>EXTN. VALSAD RANGE</t>
  </si>
  <si>
    <t>GUJ-FE-RNG-IU-EXTN-VANKNR</t>
  </si>
  <si>
    <t>EXTN. VANKANER RANGE</t>
  </si>
  <si>
    <t>GUJ-FE-RNG-IU-EXTN-VANS</t>
  </si>
  <si>
    <t>EXTN. VANSDA RANGE</t>
  </si>
  <si>
    <t>GUJ-FE-RNG-IU-EXTN-VAV</t>
  </si>
  <si>
    <t>EXTN. VAV RANGE</t>
  </si>
  <si>
    <t>GUJ-FE-RNG-IU-EXTN-VIJA</t>
  </si>
  <si>
    <t>EXTN., VIJAPUR RANGE</t>
  </si>
  <si>
    <t>GUJ-FE-RNG-IU-EXTN-VINCH</t>
  </si>
  <si>
    <t>EXTN. VINCHHIYA RANGE (Old name EXTN. JASDAN RANGE)</t>
  </si>
  <si>
    <t>GUJ-FE-RNG-IU-EXTN-VIRAM</t>
  </si>
  <si>
    <t>EXTN. VIRAMGAM RANGE</t>
  </si>
  <si>
    <t>GUJ-FE-RNG-IU-EXTN-VIRPUR</t>
  </si>
  <si>
    <t>EXTN. VIRPUR RANGE</t>
  </si>
  <si>
    <t>GUJ-FE-RNG-IU-EXTN-VISA</t>
  </si>
  <si>
    <t>EXTN. VISAVADAR RANGE</t>
  </si>
  <si>
    <t>GUJ-FE-RNG-IU-EXTN-VISNGR</t>
  </si>
  <si>
    <t>EXTN., VISNAGAR RANGE</t>
  </si>
  <si>
    <t>GUJ-FE-RNG-IU-EXTN-VJYNGR</t>
  </si>
  <si>
    <t>EXTN., VIJAYNAGAR RANGE</t>
  </si>
  <si>
    <t>GUJ-FE-RNG-IU-EXTN-VYARA</t>
  </si>
  <si>
    <t>EXTN. VYARA RANGE</t>
  </si>
  <si>
    <t>GUJ-FE-RNG-IU-EXTN-ZAGAD</t>
  </si>
  <si>
    <t>EXTN. ZAGADIYA RANGE</t>
  </si>
  <si>
    <t>GUJ-FE-RNG-IU-EXTN-ZALOD</t>
  </si>
  <si>
    <t>EXTN. ZALOD RANGE</t>
  </si>
  <si>
    <t>GUJ-FE-RNG-IU-FATEH-1</t>
  </si>
  <si>
    <t>FATEHPURA RANGE-1</t>
  </si>
  <si>
    <t>GUJ-FE-RNG-IU-FATEH-2</t>
  </si>
  <si>
    <t>FATEHPUR RANGE-2</t>
  </si>
  <si>
    <t>GUJ-FE-RNG-IU-FTC-KAKR-1</t>
  </si>
  <si>
    <t>FTC, KAKRAPAR-(1)</t>
  </si>
  <si>
    <t>GUJ-FE-RNG-IU-FTC-KAKR-2</t>
  </si>
  <si>
    <t>FTC, KAKRAPAR-(2)</t>
  </si>
  <si>
    <t>GUJ-FE-RNG-IU-FTC-KAKR-3</t>
  </si>
  <si>
    <t>FTC, KAKRAPAR-(3)</t>
  </si>
  <si>
    <t>GUJ-FE-RNG-IU-FUL</t>
  </si>
  <si>
    <t>FULSAR RANGE</t>
  </si>
  <si>
    <t>GUJ-FE-RNG-IU-GALKU</t>
  </si>
  <si>
    <t>GALKUND RANGE</t>
  </si>
  <si>
    <t>GUJ-FE-RNG-IU-GARBADA</t>
  </si>
  <si>
    <t>GARBADA RANGE</t>
  </si>
  <si>
    <t>GUJ-FE-RNG-IU-GFRC-RAJP</t>
  </si>
  <si>
    <t>GFRC, RAJPIPLA</t>
  </si>
  <si>
    <t>GUJ-FE-RNG-IU-GHM</t>
  </si>
  <si>
    <t>GUEST HOUSE MANAGER</t>
  </si>
  <si>
    <t>GUJ-FE-RNG-IU-GODHRA-W</t>
  </si>
  <si>
    <t>GODHRA(W) RANGE</t>
  </si>
  <si>
    <t>GUJ-FE-RNG-IU-GODRA-E</t>
  </si>
  <si>
    <t>GODHRA(E) RANGE</t>
  </si>
  <si>
    <t>GUJ-FE-RNG-IU-GONDAL-NRML</t>
  </si>
  <si>
    <t>GONDAL RANGE (Normal)</t>
  </si>
  <si>
    <t>GUJ-FE-RNG-IU-GORA</t>
  </si>
  <si>
    <t>GORA RANGE</t>
  </si>
  <si>
    <t>GUJ-FE-RNG-IU-HADA</t>
  </si>
  <si>
    <t>HADALA RANGE</t>
  </si>
  <si>
    <t>GUJ-FE-RNG-IU-HALOL</t>
  </si>
  <si>
    <t>HALOL RANGE</t>
  </si>
  <si>
    <t>GUJ-FE-RNG-IU-HALVAD</t>
  </si>
  <si>
    <t>HALVAD RANGE</t>
  </si>
  <si>
    <t>GUJ-FE-RNG-IU-HANMA</t>
  </si>
  <si>
    <t>HANMATMAL RANGE</t>
  </si>
  <si>
    <t>GUJ-FE-RNG-IU-HARIJ</t>
  </si>
  <si>
    <t>EXTN. HARIJ RANGE</t>
  </si>
  <si>
    <t>GUJ-FE-RNG-IU-JAM-1</t>
  </si>
  <si>
    <t>JAMNAGAR RANGE-1</t>
  </si>
  <si>
    <t>GUJ-FE-RNG-IU-JAM-2</t>
  </si>
  <si>
    <t>JAMNAGAR RANGE-2</t>
  </si>
  <si>
    <t>GUJ-FE-RNG-IU-JAMJODH</t>
  </si>
  <si>
    <t>JAMJODHPUR RANGE</t>
  </si>
  <si>
    <t>GUJ-FE-RNG-IU-JAMVA</t>
  </si>
  <si>
    <t>JAMVALA RANGE</t>
  </si>
  <si>
    <t>GUJ-FE-RNG-IU-JASA</t>
  </si>
  <si>
    <t>JASADHAR RANGE</t>
  </si>
  <si>
    <t>GUJ-FE-RNG-IU-JASDAN</t>
  </si>
  <si>
    <t>JASDAN RANGE</t>
  </si>
  <si>
    <t>GUJ-FE-RNG-IU-JESAR</t>
  </si>
  <si>
    <t>JESAR RANGE (old name; EXTN. MAHUWA RANGE)</t>
  </si>
  <si>
    <t>GUJ-FE-RNG-IU-JHALOD</t>
  </si>
  <si>
    <t>JHALOD RANGE</t>
  </si>
  <si>
    <t>GUJ-FE-RNG-IU-JODI</t>
  </si>
  <si>
    <t>JODIYA RANGE</t>
  </si>
  <si>
    <t>GUJ-FE-RNG-IU-KADI</t>
  </si>
  <si>
    <t>MOTI. KADI RANGE</t>
  </si>
  <si>
    <t>GUJ-FE-RNG-IU-KALIBEL</t>
  </si>
  <si>
    <t>KALIBEL RANGE</t>
  </si>
  <si>
    <t>GUJ-FE-RNG-IU-KALOL</t>
  </si>
  <si>
    <t>KALOL RANGE</t>
  </si>
  <si>
    <t>GUJ-FE-RNG-IU-KANJ</t>
  </si>
  <si>
    <t>KANJETA RANGE</t>
  </si>
  <si>
    <t>GUJ-FE-RNG-IU-KANWAT</t>
  </si>
  <si>
    <t>KANWAT RANGE</t>
  </si>
  <si>
    <t>GUJ-FE-RNG-IU-KAPR</t>
  </si>
  <si>
    <t>KAPRADA RANGE</t>
  </si>
  <si>
    <t>GUJ-FE-RNG-IU-KEVA</t>
  </si>
  <si>
    <t>KEVADIA RANGE</t>
  </si>
  <si>
    <t>GUJ-FE-RNG-IU-KHAM</t>
  </si>
  <si>
    <t>KHAMBHALIYA RANGE</t>
  </si>
  <si>
    <t>GUJ-FE-RNG-IU-KHANPUR</t>
  </si>
  <si>
    <t>KHANPUR RANGE</t>
  </si>
  <si>
    <t>GUJ-FE-RNG-IU-KHEDBR</t>
  </si>
  <si>
    <t>KHEDBRAHMA RANGE</t>
  </si>
  <si>
    <t>GUJ-FE-RNG-IU-KHERWADA</t>
  </si>
  <si>
    <t>KHERWADA RANGE</t>
  </si>
  <si>
    <t>GUJ-FE-RNG-IU-KHIJ</t>
  </si>
  <si>
    <t>KHIJADIYA</t>
  </si>
  <si>
    <t>GUJ-FE-RNG-IU-KOTVALIYA</t>
  </si>
  <si>
    <t>KOTVALIYA SONGADH RANGE</t>
  </si>
  <si>
    <t>GUJ-FE-RNG-IU-KUTIYA</t>
  </si>
  <si>
    <t>KUTIYANA RANGE</t>
  </si>
  <si>
    <t>GUJ-FE-RNG-IU-LALPUR</t>
  </si>
  <si>
    <t>LALPUR Normal Range (old name: JAMKHAMBHALIA RANGE)</t>
  </si>
  <si>
    <t>GUJ-FE-RNG-IU-LAVCH</t>
  </si>
  <si>
    <t>LAVCHALI RANGE</t>
  </si>
  <si>
    <t>GUJ-FE-RNG-IU-LAVK</t>
  </si>
  <si>
    <t>LAVKAR RANGE</t>
  </si>
  <si>
    <t>GUJ-FE-RNG-IU-LIMKHEDA</t>
  </si>
  <si>
    <t>LIMKHEDA RANGE</t>
  </si>
  <si>
    <t>GUJ-FE-RNG-IU-LP-CON-1</t>
  </si>
  <si>
    <t>LION PROTECTION &amp; CONSERVATION-(1)</t>
  </si>
  <si>
    <t>GUJ-FE-RNG-IU-LP-CON-2</t>
  </si>
  <si>
    <t>LION PROTECTION &amp; CONSERVATION-(2)</t>
  </si>
  <si>
    <t>GUJ-FE-RNG-IU-LUNAVADA</t>
  </si>
  <si>
    <t>LUNAVADA RANGE</t>
  </si>
  <si>
    <t>GUJ-FE-RNG-IU-MAHUVA-1</t>
  </si>
  <si>
    <t>MAHUVA RANGE-1</t>
  </si>
  <si>
    <t>GUJ-FE-RNG-IU-MAHUVA-2</t>
  </si>
  <si>
    <t>MAHUVA RANGE-2</t>
  </si>
  <si>
    <t>GUJ-FE-RNG-IU-MALANG</t>
  </si>
  <si>
    <t>MALANGDEV RANGE</t>
  </si>
  <si>
    <t>GUJ-FE-RNG-IU-MALPUR</t>
  </si>
  <si>
    <t>MALPUR RANGE</t>
  </si>
  <si>
    <t>GUJ-FE-RNG-IU-MANDVI</t>
  </si>
  <si>
    <t>MANDVI RANGE</t>
  </si>
  <si>
    <t>GUJ-FE-RNG-IU-MANDVI-N</t>
  </si>
  <si>
    <t>MANDVI (N) RANGE</t>
  </si>
  <si>
    <t>GUJ-FE-RNG-IU-MANDVI-S</t>
  </si>
  <si>
    <t>MANDVI (S) RANGE</t>
  </si>
  <si>
    <t>GUJ-FE-RNG-IU-MANGROL</t>
  </si>
  <si>
    <t>MANGROL RANGE</t>
  </si>
  <si>
    <t>GUJ-FE-RNG-IU-MANSA</t>
  </si>
  <si>
    <t>MANSA RANGE</t>
  </si>
  <si>
    <t>GUJ-FE-RNG-IU-MEGHRAJ</t>
  </si>
  <si>
    <t>MEGHRAJ RANGE</t>
  </si>
  <si>
    <t>GUJ-FE-RNG-IU-MEN</t>
  </si>
  <si>
    <t>MENGRUV RICHARCH</t>
  </si>
  <si>
    <t>GUJ-FE-RNG-IU-MODA</t>
  </si>
  <si>
    <t>MODASA RANGE</t>
  </si>
  <si>
    <t>GUJ-FE-RNG-IU-MONITOR-BHUJ</t>
  </si>
  <si>
    <t>MONITORING BHUJ</t>
  </si>
  <si>
    <t>GUJ-FE-RNG-IU-MORBI-NRML</t>
  </si>
  <si>
    <t>MORBI RANGE (Normal)</t>
  </si>
  <si>
    <t>GUJ-FE-RNG-IU-MORVA</t>
  </si>
  <si>
    <t>MORVA RANGE</t>
  </si>
  <si>
    <t>GUJ-FE-RNG-IU-MS-BODELI</t>
  </si>
  <si>
    <t>MS. BODELI</t>
  </si>
  <si>
    <t>GUJ-FE-RNG-IU-MS-CHHOTAUDEP</t>
  </si>
  <si>
    <t>MS. CHHOTAUDEPUR</t>
  </si>
  <si>
    <t>GUJ-FE-RNG-IU-MS-GIRGADH</t>
  </si>
  <si>
    <t>GIR GADHDA MS</t>
  </si>
  <si>
    <t>GUJ-FE-RNG-IU-MS-HALOL</t>
  </si>
  <si>
    <t>MS, HALOL</t>
  </si>
  <si>
    <t>GUJ-FE-RNG-IU-MS-KHAM</t>
  </si>
  <si>
    <t>KHAMBHA MS</t>
  </si>
  <si>
    <t>GUJ-FE-RNG-IU-MS-NANPO</t>
  </si>
  <si>
    <t>M S NANPONDHA</t>
  </si>
  <si>
    <t>GUJ-FE-RNG-IU-MS-SANTRA</t>
  </si>
  <si>
    <t>MS, SANTRAMPUR</t>
  </si>
  <si>
    <t>GUJ-FE-RNG-IU-MULI</t>
  </si>
  <si>
    <t>MULI RANGE</t>
  </si>
  <si>
    <t>GUJ-FE-RNG-IU-MUNDRA</t>
  </si>
  <si>
    <t>MUNDRA RANGE</t>
  </si>
  <si>
    <t>GUJ-FE-RNG-IU-MUNPUR</t>
  </si>
  <si>
    <t>MUNPUR RANGE</t>
  </si>
  <si>
    <t>GUJ-FE-RNG-IU-NAKHTRA-E</t>
  </si>
  <si>
    <t>NAKHATRANA (E) RANGE</t>
  </si>
  <si>
    <t>GUJ-FE-RNG-IU-NAKHTRA-W</t>
  </si>
  <si>
    <t>NAKHATRANA (W) RANGE</t>
  </si>
  <si>
    <t>GUJ-FE-RNG-IU-NALIYA-N</t>
  </si>
  <si>
    <t>NALIYA (N) RANGE</t>
  </si>
  <si>
    <t>GUJ-FE-RNG-IU-NALIYA-S</t>
  </si>
  <si>
    <t>NALIYA (S) RANGE</t>
  </si>
  <si>
    <t>GUJ-FE-RNG-IU-NALSRVR</t>
  </si>
  <si>
    <t>NAL SAROVAR</t>
  </si>
  <si>
    <t>GUJ-FE-RNG-IU-NALSRVR-W</t>
  </si>
  <si>
    <t>NAL SAROVAR (W)</t>
  </si>
  <si>
    <t>GUJ-FE-RNG-IU-NANAPO</t>
  </si>
  <si>
    <t>NANAPONDHA RANGE</t>
  </si>
  <si>
    <t>GUJ-FE-RNG-IU-NASVADI</t>
  </si>
  <si>
    <t>NASVADI RANGE</t>
  </si>
  <si>
    <t>GUJ-FE-RNG-IU-NESU-E</t>
  </si>
  <si>
    <t>NESU (E) RANGE</t>
  </si>
  <si>
    <t>GUJ-FE-RNG-IU-NESU-W</t>
  </si>
  <si>
    <t>NESU (W) RANGE</t>
  </si>
  <si>
    <t>GUJ-FE-RNG-IU-NETRANG</t>
  </si>
  <si>
    <t>NETRANG RANGE</t>
  </si>
  <si>
    <t>GUJ-FE-RNG-IU-NP-KALIYA-1</t>
  </si>
  <si>
    <t>KALIYAR NATIONAL PARK-1, BHAVNAGAR</t>
  </si>
  <si>
    <t>GUJ-FE-RNG-IU-NP-KALIYA-2</t>
  </si>
  <si>
    <t>KALIYAR NATIONAL PARK-2, BHAVNAGAR</t>
  </si>
  <si>
    <t>GUJ-FE-RNG-IU-PALAN</t>
  </si>
  <si>
    <t>PALANPUR RANGE</t>
  </si>
  <si>
    <t>GUJ-FE-RNG-IU-PALITA</t>
  </si>
  <si>
    <t>PALITANA RANGE</t>
  </si>
  <si>
    <t>GUJ-FE-RNG-IU-PANGA</t>
  </si>
  <si>
    <t>PANGARBARI RANGE</t>
  </si>
  <si>
    <t>GUJ-FE-RNG-IU-PANWAD</t>
  </si>
  <si>
    <t>PANWAD RANGE</t>
  </si>
  <si>
    <t>GUJ-FE-RNG-IU-PATAN</t>
  </si>
  <si>
    <t>EXTN. PATAN RANGE</t>
  </si>
  <si>
    <t>GUJ-FE-RNG-IU-PATDI</t>
  </si>
  <si>
    <t>PATDI RANGE</t>
  </si>
  <si>
    <t>GUJ-FE-RNG-IU-PAVI-JETPUR</t>
  </si>
  <si>
    <t>PAVI JETPUR RANGE</t>
  </si>
  <si>
    <t>GUJ-FE-RNG-IU-PB-FACT-RAJK</t>
  </si>
  <si>
    <t>PB FACTORY, RAJKOT</t>
  </si>
  <si>
    <t>GUJ-FE-RNG-IU-PB-FACT-RAJP</t>
  </si>
  <si>
    <t>PB FACTORY, RAJPIPLA</t>
  </si>
  <si>
    <t>GUJ-FE-RNG-IU-PIPLA</t>
  </si>
  <si>
    <t>PIPLAIDEVI RANGE</t>
  </si>
  <si>
    <t>GUJ-FE-RNG-IU-PIPLO</t>
  </si>
  <si>
    <t>PIPLOD RANGE</t>
  </si>
  <si>
    <t>GUJ-FE-RNG-IU-PLO-1</t>
  </si>
  <si>
    <t>PLO OFFICE -(1)</t>
  </si>
  <si>
    <t>GUJ-FE-RNG-IU-PLO-2</t>
  </si>
  <si>
    <t>PLO OFFICE-(2)</t>
  </si>
  <si>
    <t>GUJ-FE-RNG-IU-PLO-3</t>
  </si>
  <si>
    <t>PLO OFFICE-(3)</t>
  </si>
  <si>
    <t>GUJ-FE-RNG-IU-POSH</t>
  </si>
  <si>
    <t>POSHINA RANGE</t>
  </si>
  <si>
    <t>GUJ-FE-RNG-IU-POSH-RDF</t>
  </si>
  <si>
    <t>POSHINA (RDF) RANGE</t>
  </si>
  <si>
    <t>GUJ-FE-RNG-IU-RADHAN</t>
  </si>
  <si>
    <t>RADHANPUR RANGE</t>
  </si>
  <si>
    <t>GUJ-FE-RNG-IU-RAJ-GASS</t>
  </si>
  <si>
    <t>RAJKOT (GASS) RANGE</t>
  </si>
  <si>
    <t>GUJ-FE-RNG-IU-RAJGADH</t>
  </si>
  <si>
    <t>RAJGADH RANGE</t>
  </si>
  <si>
    <t>GUJ-FE-RNG-IU-RAJPI</t>
  </si>
  <si>
    <t>RAJPIPLA RANGE</t>
  </si>
  <si>
    <t>GUJ-FE-RNG-IU-RAMPURA</t>
  </si>
  <si>
    <t>RAMPURA RANGE</t>
  </si>
  <si>
    <t>GUJ-FE-RNG-IU-RANA</t>
  </si>
  <si>
    <t>Ranavav Normal Range Ranavav</t>
  </si>
  <si>
    <t>GUJ-FE-RNG-IU-RANDHIKPUR</t>
  </si>
  <si>
    <t>RANDHIKPUR RANGE</t>
  </si>
  <si>
    <t>GUJ-FE-RNG-IU-RANGPUR</t>
  </si>
  <si>
    <t>RANGPUR RANGE</t>
  </si>
  <si>
    <t>GUJ-FE-RNG-IU-RAPAR-N-WL</t>
  </si>
  <si>
    <t>RAPAR (N) WL RANGE</t>
  </si>
  <si>
    <t>GUJ-FE-RNG-IU-RAPAR-S-WL</t>
  </si>
  <si>
    <t>RAPAR (S) WL RANGE</t>
  </si>
  <si>
    <t>GUJ-FE-RNG-IU-RAYGADH</t>
  </si>
  <si>
    <t>RAYGADH RANGE</t>
  </si>
  <si>
    <t>GUJ-FE-RNG-IU-RD-AND-RAJK</t>
  </si>
  <si>
    <t>R &amp; D CENTER ANANDPURA NAVAGAM) RAJKOT</t>
  </si>
  <si>
    <t>GUJ-FE-RNG-IU-RES-ANJ</t>
  </si>
  <si>
    <t>RES., ANJAR RANGE</t>
  </si>
  <si>
    <t>GUJ-FE-RNG-IU-RES-AST-GNR</t>
  </si>
  <si>
    <t>RES.ASSTT. G'NAGAR RANGE</t>
  </si>
  <si>
    <t>GUJ-FE-RNG-IU-RES-BHAV</t>
  </si>
  <si>
    <t>RES., BHAVNAGAR RANGE</t>
  </si>
  <si>
    <t>GUJ-FE-RNG-IU-RES-GNR</t>
  </si>
  <si>
    <t>RES., G'NAGAR RANGE</t>
  </si>
  <si>
    <t>GUJ-FE-RNG-IU-RES-MEH</t>
  </si>
  <si>
    <t>RES., MEHSANA RANGE</t>
  </si>
  <si>
    <t>GUJ-FE-RNG-IU-RES-RAJPI</t>
  </si>
  <si>
    <t>RES., RAJPIPLA RANGE</t>
  </si>
  <si>
    <t>GUJ-FE-RNG-IU-RFO-ORI-GNR</t>
  </si>
  <si>
    <t>RFO -ORI., G'NAGAR OFFICE</t>
  </si>
  <si>
    <t>GUJ-FE-RNG-IU-RFW-KALYA-BHITYA</t>
  </si>
  <si>
    <t>(RFW) KALYANPUR BHTIYA RANGE</t>
  </si>
  <si>
    <t>GUJ-FE-RNG-IU-RS-DANTA</t>
  </si>
  <si>
    <t>RS, DANTA RANGE</t>
  </si>
  <si>
    <t>GUJ-FE-RNG-IU-RS-DEESA</t>
  </si>
  <si>
    <t>RS, DEESA RANGE</t>
  </si>
  <si>
    <t>GUJ-FE-RNG-IU-RS-DHANE</t>
  </si>
  <si>
    <t>RS, DHANERA RANGE</t>
  </si>
  <si>
    <t>GUJ-FE-RNG-IU-RS-PAL</t>
  </si>
  <si>
    <t>RS, PALANPUR RANGE</t>
  </si>
  <si>
    <t>GUJ-FE-RNG-IU-RS-SHIHO</t>
  </si>
  <si>
    <t>RS, SHIHORI RANGE</t>
  </si>
  <si>
    <t>GUJ-FE-RNG-IU-SADADVEL</t>
  </si>
  <si>
    <t>SADADVEL RANGE</t>
  </si>
  <si>
    <t>GUJ-FE-RNG-IU-SAGAI</t>
  </si>
  <si>
    <t>SAGAI RANGE</t>
  </si>
  <si>
    <t>GUJ-FE-RNG-IU-SAGB</t>
  </si>
  <si>
    <t>SAGBARA RANGE</t>
  </si>
  <si>
    <t>GUJ-FE-RNG-IU-SAGTALA</t>
  </si>
  <si>
    <t>SAGTALA RANGE</t>
  </si>
  <si>
    <t>GUJ-FE-RNG-IU-SAKAR</t>
  </si>
  <si>
    <t>SAKARPATAL RANGE</t>
  </si>
  <si>
    <t>GUJ-FE-RNG-IU-SAMI</t>
  </si>
  <si>
    <t>SAMI RANGE</t>
  </si>
  <si>
    <t>GUJ-FE-RNG-IU-SAN-BAR-RANA</t>
  </si>
  <si>
    <t>Barda Sanctuary, Ranavav</t>
  </si>
  <si>
    <t>GUJ-FE-RNG-IU-SAN-PAN</t>
  </si>
  <si>
    <t>PANIYA SANCTURY RANGE</t>
  </si>
  <si>
    <t>GUJ-FE-RNG-IU-SAN-SASAN</t>
  </si>
  <si>
    <t>SANCTURY RANGE SASAN</t>
  </si>
  <si>
    <t>GUJ-FE-RNG-IU-SANJAN</t>
  </si>
  <si>
    <t>SANJAN RANGE</t>
  </si>
  <si>
    <t>GUJ-FE-RNG-IU-SANJELI</t>
  </si>
  <si>
    <t>SANJELI RANGE</t>
  </si>
  <si>
    <t>GUJ-FE-RNG-IU-SANTAL</t>
  </si>
  <si>
    <t>SANTALPUR RANGE</t>
  </si>
  <si>
    <t>GUJ-FE-RNG-IU-SANTRA-E</t>
  </si>
  <si>
    <t>SANTRAMPUR(E) RANGE</t>
  </si>
  <si>
    <t>GUJ-FE-RNG-IU-SANTRA-W</t>
  </si>
  <si>
    <t>SANTRAMPUR(W) RANGE</t>
  </si>
  <si>
    <t>GUJ-FE-RNG-IU-SARADO</t>
  </si>
  <si>
    <t>SARADO(BHUJ)</t>
  </si>
  <si>
    <t>GUJ-FE-RNG-IU-SARASIYA</t>
  </si>
  <si>
    <t>SARASIYA RANGE</t>
  </si>
  <si>
    <t>GUJ-FE-RNG-IU-SARGU</t>
  </si>
  <si>
    <t>SARGU(BHUJ)</t>
  </si>
  <si>
    <t>GUJ-FE-RNG-IU-SASAN</t>
  </si>
  <si>
    <t>SASAN RANGE</t>
  </si>
  <si>
    <t>GUJ-FE-RNG-IU-SAVAR</t>
  </si>
  <si>
    <t>SAVARKUNDLA RANGE</t>
  </si>
  <si>
    <t>GUJ-FE-RNG-IU-SBG-ZOO</t>
  </si>
  <si>
    <t>SAKKARBAUG ZOO</t>
  </si>
  <si>
    <t>GUJ-FE-RNG-IU-SEED-DUN-VADO</t>
  </si>
  <si>
    <t>SEED DUNGARDA RANGE VADODARA</t>
  </si>
  <si>
    <t>GUJ-FE-RNG-IU-SHAMGA</t>
  </si>
  <si>
    <t>SHAMGAHAN RANGE</t>
  </si>
  <si>
    <t>GUJ-FE-RNG-IU-SHAMLA</t>
  </si>
  <si>
    <t>SHAMLAJI RANGE</t>
  </si>
  <si>
    <t>GUJ-FE-RNG-IU-SHEHRA</t>
  </si>
  <si>
    <t>SHEHRA RANGE</t>
  </si>
  <si>
    <t>GUJ-FE-RNG-IU-SHIHOR</t>
  </si>
  <si>
    <t>SHIHOR RANGE</t>
  </si>
  <si>
    <t>GUJ-FE-RNG-IU-SHIL-LAB-PLN</t>
  </si>
  <si>
    <t>SHILT LABORATORY, PALANPUR</t>
  </si>
  <si>
    <t>GUJ-FE-RNG-IU-SHIV-1</t>
  </si>
  <si>
    <t>SHIVRAJPUR RANGE-1</t>
  </si>
  <si>
    <t>GUJ-FE-RNG-IU-SHIV-2</t>
  </si>
  <si>
    <t>SHIVRAJPUR RANGE-2</t>
  </si>
  <si>
    <t>GUJ-FE-RNG-IU-SIKKA</t>
  </si>
  <si>
    <t>SIKKA RANGE</t>
  </si>
  <si>
    <t>GUJ-FE-RNG-IU-SINGA</t>
  </si>
  <si>
    <t>SINGANA RANGE</t>
  </si>
  <si>
    <t>GUJ-FE-RNG-IU-SKIM-SARA</t>
  </si>
  <si>
    <t>SKIM RANGE SARASIYA</t>
  </si>
  <si>
    <t>GUJ-FE-RNG-IU-SONAGADH</t>
  </si>
  <si>
    <t>FORT SONGADH</t>
  </si>
  <si>
    <t>GUJ-FE-RNG-IU-SORA</t>
  </si>
  <si>
    <t>SORAPADA RANGE</t>
  </si>
  <si>
    <t>GUJ-FE-RNG-IU-STK-FOR-RAJ-ZANKVAV</t>
  </si>
  <si>
    <t>STK FORCE RAJPIPLA, (ZANKVAV)</t>
  </si>
  <si>
    <t>GUJ-FE-RNG-IU-STK-FOR-VYARA</t>
  </si>
  <si>
    <t>STK.FORCE, VYARA</t>
  </si>
  <si>
    <t>GUJ-FE-RNG-IU-STK-WAGH</t>
  </si>
  <si>
    <t>STF WAGHAI</t>
  </si>
  <si>
    <t>GUJ-FE-RNG-IU-STKF-AHWA</t>
  </si>
  <si>
    <t>STK. FORCE AHWA</t>
  </si>
  <si>
    <t>GUJ-FE-RNG-IU-STKF-DEDI</t>
  </si>
  <si>
    <t>STK FORCE DEDIYAPADA</t>
  </si>
  <si>
    <t>GUJ-FE-RNG-IU-STRF-BARIA</t>
  </si>
  <si>
    <t>STRIKING FORCE, BARIA</t>
  </si>
  <si>
    <t>GUJ-FE-RNG-IU-STRF-GODHRA</t>
  </si>
  <si>
    <t>STRIKING FORCE, GODHRA</t>
  </si>
  <si>
    <t>GUJ-FE-RNG-IU-STRF-HMN</t>
  </si>
  <si>
    <t>STRIKING FORCE, HIMATNAGAR</t>
  </si>
  <si>
    <t>GUJ-FE-RNG-IU-SUBIR</t>
  </si>
  <si>
    <t>SUBIR RANGE</t>
  </si>
  <si>
    <t>GUJ-FE-RNG-IU-SURJUMI</t>
  </si>
  <si>
    <t>SURJUMI RANGE</t>
  </si>
  <si>
    <t>GUJ-FE-RNG-IU-SWAG</t>
  </si>
  <si>
    <t>SWAGATI RANGE</t>
  </si>
  <si>
    <t>GUJ-FE-RNG-IU-TA-BANNI</t>
  </si>
  <si>
    <t>T.A. BANNI(BHUJ)</t>
  </si>
  <si>
    <t>GUJ-FE-RNG-IU-TA-NARM</t>
  </si>
  <si>
    <t>T.A. NARMADA</t>
  </si>
  <si>
    <t>GUJ-FE-RNG-IU-TA-PATAN</t>
  </si>
  <si>
    <t>TA PATAN</t>
  </si>
  <si>
    <t>GUJ-FE-RNG-IU-TA-RAJP</t>
  </si>
  <si>
    <t>T.A. RAJPIPLA</t>
  </si>
  <si>
    <t>GUJ-FE-RNG-IU-TA-VAL</t>
  </si>
  <si>
    <t>T.A. VALSAD</t>
  </si>
  <si>
    <t>GUJ-FE-RNG-IU-TALA</t>
  </si>
  <si>
    <t>TALALA RANGE</t>
  </si>
  <si>
    <t>GUJ-FE-RNG-IU-TAPTI</t>
  </si>
  <si>
    <t>TAPTI RANGE</t>
  </si>
  <si>
    <t>GUJ-FE-RNG-IU-THANGADH</t>
  </si>
  <si>
    <t>THANGADH RANGE</t>
  </si>
  <si>
    <t>GUJ-FE-RNG-IU-THAR</t>
  </si>
  <si>
    <t>THARAD RANGE</t>
  </si>
  <si>
    <t>GUJ-FE-RNG-IU-TIMBER-AHWA</t>
  </si>
  <si>
    <t>TIMBER DEPO AHWA</t>
  </si>
  <si>
    <t>GUJ-FE-RNG-IU-TIMBER-WAGAI</t>
  </si>
  <si>
    <t>TIMBER DEPO WAGAI</t>
  </si>
  <si>
    <t>GUJ-FE-RNG-IU-TRG-DUNG</t>
  </si>
  <si>
    <t>DUNGARDA TRG</t>
  </si>
  <si>
    <t>GUJ-FE-RNG-IU-TS</t>
  </si>
  <si>
    <t>TULSI SHYAM RANGE</t>
  </si>
  <si>
    <t>GUJ-FE-RNG-IU-TS-JAS</t>
  </si>
  <si>
    <t>TULSI SHYAM - JASADHAR PRAVASAN SANKUL</t>
  </si>
  <si>
    <t>GUJ-FE-RNG-IU-TUGA</t>
  </si>
  <si>
    <t>TUGA (NAKHATRANA)</t>
  </si>
  <si>
    <t>GUJ-FE-RNG-IU-UKAI</t>
  </si>
  <si>
    <t>UKAI RANGE</t>
  </si>
  <si>
    <t>GUJ-FE-RNG-IU-UMARPADA</t>
  </si>
  <si>
    <t>UMARPADA RANGE</t>
  </si>
  <si>
    <t>GUJ-FE-RNG-IU-UNAI-DOLVAN</t>
  </si>
  <si>
    <t>UNAI RANGE (New HQ. DOLVAN)</t>
  </si>
  <si>
    <t>GUJ-FE-RNG-IU-UNAUTH-CULT-HMN</t>
  </si>
  <si>
    <t>UNAUTHORISED CULTIVATION, HMMATNAGAR</t>
  </si>
  <si>
    <t>GUJ-FE-RNG-IU-URJA</t>
  </si>
  <si>
    <t>URJA, GANDHINAGAR RANGE</t>
  </si>
  <si>
    <t>GUJ-FE-RNG-IU-VADALI</t>
  </si>
  <si>
    <t>VADALI RANGE</t>
  </si>
  <si>
    <t>GUJ-FE-RNG-IU-VADHA</t>
  </si>
  <si>
    <t>VADHVAN RANGE</t>
  </si>
  <si>
    <t>GUJ-FE-RNG-IU-VADO-HARA</t>
  </si>
  <si>
    <t>VADODARA RANGE (HARANI)</t>
  </si>
  <si>
    <t>GUJ-FE-RNG-IU-VADPADA</t>
  </si>
  <si>
    <t>VADPADA RANGE</t>
  </si>
  <si>
    <t>GUJ-FE-RNG-IU-VAGH-KOT</t>
  </si>
  <si>
    <t>VAGHAI KOTVADIYA RANGE</t>
  </si>
  <si>
    <t>GUJ-FE-RNG-IU-VAISA-DUNGARI</t>
  </si>
  <si>
    <t>VASIA DUNGARI RANGE</t>
  </si>
  <si>
    <t>GUJ-FE-RNG-IU-VAJPUR</t>
  </si>
  <si>
    <t>VAJPUR RANGE</t>
  </si>
  <si>
    <t>GUJ-FE-RNG-IU-VAL</t>
  </si>
  <si>
    <t>VALSAD RANGE</t>
  </si>
  <si>
    <t>GUJ-FE-RNG-IU-VAL-SOC</t>
  </si>
  <si>
    <t>VALSAD SOCIETY</t>
  </si>
  <si>
    <t>GUJ-FE-RNG-IU-VAL-WP1</t>
  </si>
  <si>
    <t>VALSAD W.P. RANGE-(1)</t>
  </si>
  <si>
    <t>GUJ-FE-RNG-IU-VAL-WP2</t>
  </si>
  <si>
    <t>VALSAD W.P. RANGE-(2)</t>
  </si>
  <si>
    <t>GUJ-FE-RNG-IU-VALLABH</t>
  </si>
  <si>
    <t>VALLABHIPUR RANGE</t>
  </si>
  <si>
    <t>GUJ-FE-RNG-IU-VAN-NP</t>
  </si>
  <si>
    <t>VANSADA NATIONAL PARK</t>
  </si>
  <si>
    <t>GUJ-FE-RNG-IU-VANKA</t>
  </si>
  <si>
    <t>RAMPARA SANCTURY, VANKANER RANGE</t>
  </si>
  <si>
    <t>GUJ-FE-RNG-IU-VANKAL</t>
  </si>
  <si>
    <t>VANKAL RANGE</t>
  </si>
  <si>
    <t>GUJ-FE-RNG-IU-VANS-E</t>
  </si>
  <si>
    <t>VANSDA (E) RANGE</t>
  </si>
  <si>
    <t>GUJ-FE-RNG-IU-VANS-W</t>
  </si>
  <si>
    <t>VANSDA (W) RANGE</t>
  </si>
  <si>
    <t>GUJ-FE-RNG-IU-VAPI</t>
  </si>
  <si>
    <t>VAPI RANGE</t>
  </si>
  <si>
    <t>GUJ-FE-RNG-IU-VEJALPUR</t>
  </si>
  <si>
    <t>VEJALPUR RANGE</t>
  </si>
  <si>
    <t>GUJ-FE-RNG-IU-VERAVAL</t>
  </si>
  <si>
    <t>VERAVAL RANGE</t>
  </si>
  <si>
    <t>GUJ-FE-RNG-IU-VF-DIYOD</t>
  </si>
  <si>
    <t>VF, DIYODAR RANGE</t>
  </si>
  <si>
    <t>GUJ-FE-RNG-IU-VF-VADGAM</t>
  </si>
  <si>
    <t>VF, VADGAM RANGE</t>
  </si>
  <si>
    <t>GUJ-FE-RNG-IU-VISA</t>
  </si>
  <si>
    <t>VISAVADAR RANGE</t>
  </si>
  <si>
    <t>GUJ-FE-RNG-IU-VJYNGR</t>
  </si>
  <si>
    <t>VIJAYNAGAR RANGE</t>
  </si>
  <si>
    <t>GUJ-FE-RNG-IU-VYARA</t>
  </si>
  <si>
    <t>VYARA RANGE</t>
  </si>
  <si>
    <t>GUJ-FE-RNG-IU-WAGH</t>
  </si>
  <si>
    <t>WAGHAI RANGE</t>
  </si>
  <si>
    <t>GUJ-FE-RNG-IU-WAGH-SAW-MILL</t>
  </si>
  <si>
    <t>WAGHAI SAW MILL</t>
  </si>
  <si>
    <t>GUJ-FE-RNG-IU-WAGH-SOC</t>
  </si>
  <si>
    <t>WAGHAI SOCIETY</t>
  </si>
  <si>
    <t>GUJ-FE-RNG-IU-WARAHI</t>
  </si>
  <si>
    <t>WARAHI RANGE</t>
  </si>
  <si>
    <t>GUJ-FE-RNG-IU-WL-IQBL</t>
  </si>
  <si>
    <t>W.L. IQBALGADH RANGE</t>
  </si>
  <si>
    <t>GUJ-FE-RNG-IU-WL-JAFR</t>
  </si>
  <si>
    <t>Wildlife Range- Jafrabad</t>
  </si>
  <si>
    <t>GUJ-FE-RNG-IU-WL-JAMBU</t>
  </si>
  <si>
    <t>JAMBUGHODA (WL) RANGE</t>
  </si>
  <si>
    <t>GUJ-FE-RNG-IU-WL-JES</t>
  </si>
  <si>
    <t>Wildlife Range- Jesar</t>
  </si>
  <si>
    <t>GUJ-FE-RNG-IU-WL-LIL</t>
  </si>
  <si>
    <t>Wildlife Range- Liliya</t>
  </si>
  <si>
    <t>GUJ-FE-RNG-IU-WL-MAHU</t>
  </si>
  <si>
    <t>Wildlife Range- Mahuva</t>
  </si>
  <si>
    <t>GUJ-FE-RNG-IU-WL-PALI</t>
  </si>
  <si>
    <t>Wildlife Range- Palitana</t>
  </si>
  <si>
    <t>GUJ-FE-RNG-IU-WL-RAJU</t>
  </si>
  <si>
    <t>Wildlife Range- Rajula</t>
  </si>
  <si>
    <t>GUJ-FE-RNG-IU-WL-TALA</t>
  </si>
  <si>
    <t>Wildlife Range- Talaja</t>
  </si>
  <si>
    <t>GUJ-FE-RNG-IU-WL-VADO-1</t>
  </si>
  <si>
    <t>WL CIRCLE OFFICE-1, VADODARA</t>
  </si>
  <si>
    <t>GUJ-FE-RNG-IU-WL-VADO-2</t>
  </si>
  <si>
    <t>WL CIRCLE OFFICE-2, VADODARA</t>
  </si>
  <si>
    <t>GUJ-FE-RNG-IU-ZAGADIYA</t>
  </si>
  <si>
    <t>ZAGADIYA RANGE</t>
  </si>
  <si>
    <t>Non ExpenditSre Rating</t>
  </si>
  <si>
    <t xml:space="preserve">IF(R2=0,"3",
 IF(R2="",3,
 IF(R2&lt;=PERCENTILE.INC($R$2:$R$105,0.25),3,
 IF(R2&lt;=PERCENTILE.INC($R$2:$R$105,0.5),5,
 IF(R2&lt;=PERCENTILE.INC($R$2:$R$105,0.75),7,
 9)))))
</t>
  </si>
  <si>
    <t>Total ExpenditSre Rating</t>
  </si>
  <si>
    <t>IF(S2=0,"3",
 IF(S2="",3,
 IF(S2&lt;=PERCENTILE.INC($S$2:$S$105,0.25),3,
 IF(S2&lt;=PERCENTILE.INC($S$2:$S$105,0.5),5,
 IF(S2&lt;=PERCENTILE.INC($S$2:$S$105,0.75),7,
 9)))))</t>
  </si>
  <si>
    <t>AVERAGE *</t>
  </si>
  <si>
    <t>IF(COUNT(J2:L2)=0, 0, SUMPRODUCT(--(J2:L2&gt;=0), J2:L2) / COUNT(J2:L2))</t>
  </si>
  <si>
    <t>*Average of field wherein negative values were taken as zero ; and field wherein data exists only were taken</t>
  </si>
  <si>
    <t>AVERAGE</t>
  </si>
  <si>
    <t>IF(COUNT(N2:P2)=0, 0, SUMPRODUCT(--(N2:P2&gt;=0), N2:P2) / COUNT(N2:P2))</t>
  </si>
  <si>
    <t>Log of (SP+ PC)</t>
  </si>
  <si>
    <t>SP+ PC RATING</t>
  </si>
  <si>
    <t xml:space="preserve">AC </t>
  </si>
  <si>
    <t>AC MV</t>
  </si>
  <si>
    <t xml:space="preserve">UC </t>
  </si>
  <si>
    <t>UC MV</t>
  </si>
  <si>
    <t>Cetrally Sponsored Scheme Rating</t>
  </si>
  <si>
    <t>Centrally sponsored scheme</t>
  </si>
  <si>
    <t>Yes</t>
  </si>
  <si>
    <t>No</t>
  </si>
  <si>
    <t>Log Value of Average Total  Expenditure</t>
  </si>
  <si>
    <t>Log (AC*MV)</t>
  </si>
  <si>
    <t>Log (UC*MV)</t>
  </si>
  <si>
    <t>Category</t>
  </si>
  <si>
    <t>High</t>
  </si>
  <si>
    <t>Medium</t>
  </si>
  <si>
    <t>Low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</si>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</sst>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2"/>
      <name val="Times New Roman"/>
      <family val="1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6"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left" vertical="top" wrapText="1"/>
    </xf>
    <xf numFmtId="165" fontId="4" fillId="3" borderId="1" xfId="0" applyNumberFormat="1" applyFont="1" applyFill="1" applyBorder="1" applyAlignment="1">
      <alignment horizontal="left" vertical="top" wrapText="1"/>
    </xf>
    <xf numFmtId="0" fontId="4" fillId="2" borderId="1" xfId="1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165" fontId="2" fillId="7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4" fillId="2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/>
    </xf>
    <xf numFmtId="3" fontId="10" fillId="0" borderId="1" xfId="0" applyNumberFormat="1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165" fontId="0" fillId="0" borderId="2" xfId="0" applyNumberFormat="1" applyBorder="1" applyAlignment="1">
      <alignment horizontal="left" vertical="top" wrapText="1"/>
    </xf>
    <xf numFmtId="1" fontId="0" fillId="0" borderId="2" xfId="0" applyNumberFormat="1" applyBorder="1" applyAlignment="1">
      <alignment horizontal="left" vertical="top" wrapText="1"/>
    </xf>
    <xf numFmtId="0" fontId="6" fillId="0" borderId="2" xfId="0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14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/>
    </xf>
  </cellXfs>
  <cellStyles count="2">
    <cellStyle name="Accent1" xfId="1" builtinId="29"/>
    <cellStyle name="Normal" xfId="0" builtinId="0"/>
  </cellStyles>
  <dxfs count="4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3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7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2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2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6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1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5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0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4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9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645"/>
  <sheetViews>
    <sheetView tabSelected="1" zoomScaleNormal="100" workbookViewId="0">
      <pane ySplit="1" topLeftCell="A2" activePane="bottomLeft" state="frozen"/>
      <selection pane="bottomLeft" activeCell="G7" sqref="G7"/>
    </sheetView>
  </sheetViews>
  <sheetFormatPr baseColWidth="10" defaultColWidth="12" defaultRowHeight="15" x14ac:dyDescent="0.2"/>
  <cols>
    <col min="1" max="1" width="5" customWidth="1"/>
    <col min="2" max="2" width="13.5" customWidth="1"/>
    <col min="3" max="3" width="29.5" bestFit="1" customWidth="1"/>
    <col min="4" max="34" width="12" customWidth="1"/>
  </cols>
  <sheetData>
    <row r="1" spans="1:43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31" t="s">
        <v>1348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1338</v>
      </c>
      <c r="AC1" s="6" t="s">
        <v>1340</v>
      </c>
      <c r="AD1" s="6" t="s">
        <v>1341</v>
      </c>
      <c r="AE1" s="6" t="s">
        <v>1349</v>
      </c>
      <c r="AF1" s="6" t="s">
        <v>1342</v>
      </c>
      <c r="AG1" s="6" t="s">
        <v>1343</v>
      </c>
      <c r="AH1" s="6" t="s">
        <v>1350</v>
      </c>
      <c r="AI1" s="31" t="s">
        <v>1345</v>
      </c>
      <c r="AJ1" s="6" t="s">
        <v>26</v>
      </c>
      <c r="AK1" s="6" t="s">
        <v>27</v>
      </c>
      <c r="AL1" s="6" t="s">
        <v>28</v>
      </c>
      <c r="AM1" s="6" t="s">
        <v>29</v>
      </c>
      <c r="AN1" s="6" t="s">
        <v>1339</v>
      </c>
      <c r="AO1" s="6" t="s">
        <v>30</v>
      </c>
      <c r="AP1" s="6" t="s">
        <v>31</v>
      </c>
      <c r="AQ1" s="31" t="s">
        <v>1344</v>
      </c>
    </row>
    <row r="2" spans="1:43" ht="51" x14ac:dyDescent="0.2">
      <c r="A2" s="7">
        <v>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7">
        <v>570011</v>
      </c>
      <c r="H2" s="9">
        <v>45747</v>
      </c>
      <c r="I2" s="10">
        <f>IFERROR(DATEDIF(H2, DATE(2026,3,31), "y"),H2)</f>
        <v>1</v>
      </c>
      <c r="J2" s="10">
        <v>533865000</v>
      </c>
      <c r="K2" s="10">
        <v>532682000</v>
      </c>
      <c r="L2" s="10">
        <v>237700000</v>
      </c>
      <c r="M2" s="10">
        <f>IF(COUNT(J2:L2)=0, 0, SUMPRODUCT(--(J2:L2&gt;=0), J2:L2) / COUNT(J2:L2))</f>
        <v>434749000</v>
      </c>
      <c r="N2" s="10">
        <v>533865000</v>
      </c>
      <c r="O2" s="10">
        <v>532682000</v>
      </c>
      <c r="P2" s="10">
        <v>237700000</v>
      </c>
      <c r="Q2" s="10">
        <f>IF(COUNT(N2:P2)=0, 0, SUMPRODUCT(--(N2:P2&gt;=0), N2:P2) / COUNT(N2:P2))</f>
        <v>434749000</v>
      </c>
      <c r="R2" s="11">
        <f>IF(M2&gt;0,LOG10(M2+1),"")</f>
        <v>8.6382385927203256</v>
      </c>
      <c r="S2" s="11">
        <f>IF(Q2&gt;0,LOG10(Q2+1),"")</f>
        <v>8.6382385927203256</v>
      </c>
      <c r="T2" s="12">
        <v>0</v>
      </c>
      <c r="U2" s="13">
        <v>3</v>
      </c>
      <c r="V2" s="13">
        <v>0</v>
      </c>
      <c r="W2" s="13">
        <f>SUM(T2:V2)</f>
        <v>3</v>
      </c>
      <c r="X2" s="13">
        <v>0</v>
      </c>
      <c r="Y2" s="12">
        <v>0</v>
      </c>
      <c r="Z2" s="12">
        <v>1</v>
      </c>
      <c r="AA2" s="13">
        <f>SUM(Y2:Z2)</f>
        <v>1</v>
      </c>
      <c r="AB2" s="11">
        <f>IF(AA2&gt;0,LOG10(AA2+1),"")</f>
        <v>0.3010299956639812</v>
      </c>
      <c r="AC2" s="11">
        <v>0</v>
      </c>
      <c r="AD2" s="11">
        <v>0</v>
      </c>
      <c r="AE2" s="11" t="str">
        <f>IF(PRODUCT(AC2*AD2)&gt;0,LOG10(PRODUCT(AC2*AD2)+1),"")</f>
        <v/>
      </c>
      <c r="AF2" s="11">
        <v>0</v>
      </c>
      <c r="AG2" s="11">
        <v>0</v>
      </c>
      <c r="AH2" s="11" t="str">
        <f>IF(PRODUCT(AF2*AG2)&gt;0,LOG10(PRODUCT(AF2*AG2)+1),"")</f>
        <v/>
      </c>
      <c r="AI2" s="32" t="s">
        <v>1347</v>
      </c>
      <c r="AJ2" s="33">
        <f>IF(R2=0,"3",
 IF(R2="",3,
 IF(R2&lt;=_xlfn.PERCENTILE.INC($R$2:$R$105,0.25),3,
 IF(R2&lt;=_xlfn.PERCENTILE.INC($R$2:$R$105,0.5),5,
 IF(R2&lt;=_xlfn.PERCENTILE.INC($R$2:$R$105,0.75),7,
 9)))))</f>
        <v>9</v>
      </c>
      <c r="AK2" s="34">
        <f>IF(S2=0,"3",
 IF(S2="",3,
 IF(S2&lt;=_xlfn.PERCENTILE.INC($S$2:$S$105,0.25),3,
 IF(S2&lt;=_xlfn.PERCENTILE.INC($S$2:$S$105,0.5),5,
 IF(S2&lt;=_xlfn.PERCENTILE.INC($S$2:$S$105,0.75),7,
 9)))))</f>
        <v>9</v>
      </c>
      <c r="AL2" s="32">
        <f>IF(W2&gt;=5,9,IF(W2 &gt;=3,7,IF(W2=0,3,5)))</f>
        <v>7</v>
      </c>
      <c r="AM2" s="32">
        <f>IF(I2&lt;4,3,IF(I2&lt;6,5,IF(I2&lt;11,7,9)))</f>
        <v>3</v>
      </c>
      <c r="AN2" s="32">
        <f>IF(AB2=0,"3",
 IF(AB2="",3,
 IF(AB2&lt;=_xlfn.PERCENTILE.INC($AB$2:$AB$105,0.25),3,
 IF(AB2&lt;=_xlfn.PERCENTILE.INC($AB$2:$AB$105,0.5),5,
 IF(AB2&lt;=_xlfn.PERCENTILE.INC($AB$2:$AB$105,0.75),7,
 9)))))</f>
        <v>3</v>
      </c>
      <c r="AO2" s="32">
        <f>IF(AE2=0,"3",
 IF(AE2="",3,
 IF(AE2&lt;=_xlfn.PERCENTILE.INC($AE$2:$AE$105,0.25),3,
 IF(AE2&lt;=_xlfn.PERCENTILE.INC($AE$2:$AE$105,0.5),5,
 IF(AE2&lt;=_xlfn.PERCENTILE.INC($AE$2:$AE$105,0.75),7,
 9)))))</f>
        <v>3</v>
      </c>
      <c r="AP2" s="32">
        <f>IF(AH2=0,"3",
 IF(AH2="",3,
 IF(AH2&lt;=_xlfn.PERCENTILE.INC($AH$2:$AH$105,0.25),3,
 IF(AH2&lt;=_xlfn.PERCENTILE.INC($AH$2:$AH$105,0.5),5,
 IF(AH2&lt;=_xlfn.PERCENTILE.INC($AH$2:$AH$105,0.75),7,
 9)))))</f>
        <v>3</v>
      </c>
      <c r="AQ2" s="15">
        <f>IF(AI2="Yes", 9,0)</f>
        <v>0</v>
      </c>
    </row>
    <row r="3" spans="1:43" ht="34" x14ac:dyDescent="0.2">
      <c r="A3" s="7">
        <v>2</v>
      </c>
      <c r="B3" s="8" t="s">
        <v>37</v>
      </c>
      <c r="C3" s="8" t="s">
        <v>38</v>
      </c>
      <c r="D3" s="8" t="s">
        <v>34</v>
      </c>
      <c r="E3" s="16" t="s">
        <v>39</v>
      </c>
      <c r="F3" s="8" t="s">
        <v>36</v>
      </c>
      <c r="G3" s="7">
        <v>0</v>
      </c>
      <c r="H3" s="9">
        <v>45747</v>
      </c>
      <c r="I3" s="10">
        <f t="shared" ref="I3:I66" si="0">IFERROR(DATEDIF(H3, DATE(2026,3,31), "y"),H3)</f>
        <v>1</v>
      </c>
      <c r="J3" s="10" t="s">
        <v>40</v>
      </c>
      <c r="K3" s="10" t="s">
        <v>40</v>
      </c>
      <c r="L3" s="10" t="s">
        <v>40</v>
      </c>
      <c r="M3" s="10">
        <f t="shared" ref="M3:M66" si="1">IF(COUNT(J3:L3)=0, 0, SUMPRODUCT(--(J3:L3&gt;=0), J3:L3) / COUNT(J3:L3))</f>
        <v>0</v>
      </c>
      <c r="N3" s="10" t="s">
        <v>40</v>
      </c>
      <c r="O3" s="10" t="s">
        <v>40</v>
      </c>
      <c r="P3" s="10" t="s">
        <v>40</v>
      </c>
      <c r="Q3" s="10">
        <f t="shared" ref="Q3:Q66" si="2">IF(COUNT(N3:P3)=0, 0, SUMPRODUCT(--(N3:P3&gt;=0), N3:P3) / COUNT(N3:P3))</f>
        <v>0</v>
      </c>
      <c r="R3" s="11" t="str">
        <f t="shared" ref="R3:R66" si="3">IF(M3&gt;0,LOG10(M3+1),"")</f>
        <v/>
      </c>
      <c r="S3" s="11" t="str">
        <f t="shared" ref="S3:S66" si="4">IF(Q3&gt;0,LOG10(Q3+1),"")</f>
        <v/>
      </c>
      <c r="T3" s="7">
        <v>0</v>
      </c>
      <c r="U3" s="7"/>
      <c r="V3" s="7"/>
      <c r="W3" s="13">
        <f t="shared" ref="W3:W66" si="5">SUM(T3:V3)</f>
        <v>0</v>
      </c>
      <c r="X3" s="7" t="s">
        <v>41</v>
      </c>
      <c r="Y3" s="7">
        <v>0</v>
      </c>
      <c r="Z3" s="7">
        <v>0</v>
      </c>
      <c r="AA3" s="13">
        <f t="shared" ref="AA3:AA66" si="6">SUM(Y3:Z3)</f>
        <v>0</v>
      </c>
      <c r="AB3" s="11" t="str">
        <f t="shared" ref="AB3:AB66" si="7">IF(AA3&gt;0,LOG10(AA3+1),"")</f>
        <v/>
      </c>
      <c r="AC3" s="11">
        <v>0</v>
      </c>
      <c r="AD3" s="11">
        <v>0</v>
      </c>
      <c r="AE3" s="11" t="str">
        <f t="shared" ref="AE3:AE66" si="8">IF(PRODUCT(AC3*AD3)&gt;0,LOG10(PRODUCT(AC3*AD3)+1),"")</f>
        <v/>
      </c>
      <c r="AF3" s="11">
        <v>0</v>
      </c>
      <c r="AG3" s="11">
        <v>0</v>
      </c>
      <c r="AH3" s="11" t="str">
        <f t="shared" ref="AH3:AH66" si="9">IF(PRODUCT(AF3*AG3)&gt;0,LOG10(PRODUCT(AF3*AG3)+1),"")</f>
        <v/>
      </c>
      <c r="AI3" s="32" t="s">
        <v>1347</v>
      </c>
      <c r="AJ3" s="33">
        <f t="shared" ref="AJ3:AJ66" si="10">IF(R3=0,"3",
 IF(R3="",3,
 IF(R3&lt;=_xlfn.PERCENTILE.INC($R$2:$R$105,0.25),3,
 IF(R3&lt;=_xlfn.PERCENTILE.INC($R$2:$R$105,0.5),5,
 IF(R3&lt;=_xlfn.PERCENTILE.INC($R$2:$R$105,0.75),7,
 9)))))</f>
        <v>3</v>
      </c>
      <c r="AK3" s="34">
        <f t="shared" ref="AK3:AK66" si="11">IF(S3=0,"3",
 IF(S3="",3,
 IF(S3&lt;=_xlfn.PERCENTILE.INC($S$2:$S$105,0.25),3,
 IF(S3&lt;=_xlfn.PERCENTILE.INC($S$2:$S$105,0.5),5,
 IF(S3&lt;=_xlfn.PERCENTILE.INC($S$2:$S$105,0.75),7,
 9)))))</f>
        <v>3</v>
      </c>
      <c r="AL3" s="32">
        <f t="shared" ref="AL3:AL66" si="12">IF(W3&gt;=5,9,IF(W3 &gt;=3,7,IF(W3=0,3,5)))</f>
        <v>3</v>
      </c>
      <c r="AM3" s="32">
        <f t="shared" ref="AM3:AM66" si="13">IF(I3&lt;4,3,IF(I3&lt;6,5,IF(I3&lt;11,7,9)))</f>
        <v>3</v>
      </c>
      <c r="AN3" s="32">
        <f t="shared" ref="AN3:AN66" si="14">IF(AB3=0,"3",
 IF(AB3="",3,
 IF(AB3&lt;=_xlfn.PERCENTILE.INC($AB$2:$AB$105,0.25),3,
 IF(AB3&lt;=_xlfn.PERCENTILE.INC($AB$2:$AB$105,0.5),5,
 IF(AB3&lt;=_xlfn.PERCENTILE.INC($AB$2:$AB$105,0.75),7,
 9)))))</f>
        <v>3</v>
      </c>
      <c r="AO3" s="32">
        <f t="shared" ref="AO3:AO66" si="15">IF(AE3=0,"3",
 IF(AE3="",3,
 IF(AE3&lt;=_xlfn.PERCENTILE.INC($AE$2:$AE$105,0.25),3,
 IF(AE3&lt;=_xlfn.PERCENTILE.INC($AE$2:$AE$105,0.5),5,
 IF(AE3&lt;=_xlfn.PERCENTILE.INC($AE$2:$AE$105,0.75),7,
 9)))))</f>
        <v>3</v>
      </c>
      <c r="AP3" s="32">
        <f t="shared" ref="AP3:AP66" si="16">IF(AH3=0,"3",
 IF(AH3="",3,
 IF(AH3&lt;=_xlfn.PERCENTILE.INC($AH$2:$AH$105,0.25),3,
 IF(AH3&lt;=_xlfn.PERCENTILE.INC($AH$2:$AH$105,0.5),5,
 IF(AH3&lt;=_xlfn.PERCENTILE.INC($AH$2:$AH$105,0.75),7,
 9)))))</f>
        <v>3</v>
      </c>
      <c r="AQ3" s="15">
        <f t="shared" ref="AQ3:AQ66" si="17">IF(AI3="Yes", 9,0)</f>
        <v>0</v>
      </c>
    </row>
    <row r="4" spans="1:43" ht="34" x14ac:dyDescent="0.2">
      <c r="A4" s="7">
        <v>3</v>
      </c>
      <c r="B4" s="8" t="s">
        <v>42</v>
      </c>
      <c r="C4" s="8" t="s">
        <v>43</v>
      </c>
      <c r="D4" s="8" t="s">
        <v>34</v>
      </c>
      <c r="E4" s="16" t="s">
        <v>39</v>
      </c>
      <c r="F4" s="8" t="s">
        <v>36</v>
      </c>
      <c r="G4" s="7">
        <v>0</v>
      </c>
      <c r="H4" s="9" t="s">
        <v>44</v>
      </c>
      <c r="I4" s="10" t="str">
        <f t="shared" si="0"/>
        <v>NA</v>
      </c>
      <c r="J4" s="10" t="s">
        <v>40</v>
      </c>
      <c r="K4" s="10" t="s">
        <v>40</v>
      </c>
      <c r="L4" s="10" t="s">
        <v>40</v>
      </c>
      <c r="M4" s="10">
        <f t="shared" si="1"/>
        <v>0</v>
      </c>
      <c r="N4" s="10" t="s">
        <v>40</v>
      </c>
      <c r="O4" s="10" t="s">
        <v>40</v>
      </c>
      <c r="P4" s="10" t="s">
        <v>40</v>
      </c>
      <c r="Q4" s="10">
        <f t="shared" si="2"/>
        <v>0</v>
      </c>
      <c r="R4" s="11" t="str">
        <f t="shared" si="3"/>
        <v/>
      </c>
      <c r="S4" s="11" t="str">
        <f t="shared" si="4"/>
        <v/>
      </c>
      <c r="T4" s="7"/>
      <c r="U4" s="7"/>
      <c r="V4" s="7"/>
      <c r="W4" s="13">
        <f t="shared" si="5"/>
        <v>0</v>
      </c>
      <c r="X4" s="7" t="s">
        <v>41</v>
      </c>
      <c r="Y4" s="7">
        <v>0</v>
      </c>
      <c r="Z4" s="7">
        <v>0</v>
      </c>
      <c r="AA4" s="13">
        <f t="shared" si="6"/>
        <v>0</v>
      </c>
      <c r="AB4" s="11" t="str">
        <f t="shared" si="7"/>
        <v/>
      </c>
      <c r="AC4" s="11">
        <v>0</v>
      </c>
      <c r="AD4" s="11">
        <v>0</v>
      </c>
      <c r="AE4" s="11" t="str">
        <f t="shared" si="8"/>
        <v/>
      </c>
      <c r="AF4" s="11">
        <v>0</v>
      </c>
      <c r="AG4" s="11">
        <v>0</v>
      </c>
      <c r="AH4" s="11" t="str">
        <f t="shared" si="9"/>
        <v/>
      </c>
      <c r="AI4" s="32" t="s">
        <v>1347</v>
      </c>
      <c r="AJ4" s="33">
        <f t="shared" si="10"/>
        <v>3</v>
      </c>
      <c r="AK4" s="34">
        <f t="shared" si="11"/>
        <v>3</v>
      </c>
      <c r="AL4" s="32">
        <f t="shared" si="12"/>
        <v>3</v>
      </c>
      <c r="AM4" s="32">
        <f t="shared" si="13"/>
        <v>9</v>
      </c>
      <c r="AN4" s="32">
        <f t="shared" si="14"/>
        <v>3</v>
      </c>
      <c r="AO4" s="32">
        <f t="shared" si="15"/>
        <v>3</v>
      </c>
      <c r="AP4" s="32">
        <f t="shared" si="16"/>
        <v>3</v>
      </c>
      <c r="AQ4" s="15">
        <f t="shared" si="17"/>
        <v>0</v>
      </c>
    </row>
    <row r="5" spans="1:43" ht="34" x14ac:dyDescent="0.2">
      <c r="A5" s="7">
        <v>4</v>
      </c>
      <c r="B5" s="8" t="s">
        <v>45</v>
      </c>
      <c r="C5" s="8" t="s">
        <v>46</v>
      </c>
      <c r="D5" s="8" t="s">
        <v>34</v>
      </c>
      <c r="E5" s="16" t="s">
        <v>39</v>
      </c>
      <c r="F5" s="8" t="s">
        <v>36</v>
      </c>
      <c r="G5" s="7">
        <v>590983</v>
      </c>
      <c r="H5" s="9">
        <v>45016</v>
      </c>
      <c r="I5" s="10">
        <f t="shared" si="0"/>
        <v>3</v>
      </c>
      <c r="J5" s="10">
        <v>800000</v>
      </c>
      <c r="K5" s="10">
        <v>1194340</v>
      </c>
      <c r="L5" s="10">
        <v>605815</v>
      </c>
      <c r="M5" s="10">
        <f t="shared" si="1"/>
        <v>866718.33333333337</v>
      </c>
      <c r="N5" s="10">
        <v>23705403</v>
      </c>
      <c r="O5" s="10">
        <v>23476679</v>
      </c>
      <c r="P5" s="10">
        <v>22583891</v>
      </c>
      <c r="Q5" s="10">
        <f t="shared" si="2"/>
        <v>23255324.333333332</v>
      </c>
      <c r="R5" s="11">
        <f t="shared" si="3"/>
        <v>5.937878484190878</v>
      </c>
      <c r="S5" s="11">
        <f t="shared" si="4"/>
        <v>7.3665224195079588</v>
      </c>
      <c r="T5" s="7"/>
      <c r="U5" s="7">
        <v>0</v>
      </c>
      <c r="V5" s="7"/>
      <c r="W5" s="13">
        <f t="shared" si="5"/>
        <v>0</v>
      </c>
      <c r="X5" s="7" t="s">
        <v>47</v>
      </c>
      <c r="Y5" s="7" t="s">
        <v>48</v>
      </c>
      <c r="Z5" s="7">
        <v>0</v>
      </c>
      <c r="AA5" s="13">
        <f t="shared" si="6"/>
        <v>0</v>
      </c>
      <c r="AB5" s="11" t="str">
        <f t="shared" si="7"/>
        <v/>
      </c>
      <c r="AC5" s="11">
        <v>0</v>
      </c>
      <c r="AD5" s="11">
        <v>0</v>
      </c>
      <c r="AE5" s="11" t="str">
        <f t="shared" si="8"/>
        <v/>
      </c>
      <c r="AF5" s="11">
        <v>0</v>
      </c>
      <c r="AG5" s="11">
        <v>0</v>
      </c>
      <c r="AH5" s="11" t="str">
        <f t="shared" si="9"/>
        <v/>
      </c>
      <c r="AI5" s="32" t="s">
        <v>1346</v>
      </c>
      <c r="AJ5" s="33">
        <f t="shared" si="10"/>
        <v>7</v>
      </c>
      <c r="AK5" s="34">
        <f t="shared" si="11"/>
        <v>5</v>
      </c>
      <c r="AL5" s="32">
        <f t="shared" si="12"/>
        <v>3</v>
      </c>
      <c r="AM5" s="32">
        <f t="shared" si="13"/>
        <v>3</v>
      </c>
      <c r="AN5" s="32">
        <f t="shared" si="14"/>
        <v>3</v>
      </c>
      <c r="AO5" s="32">
        <f t="shared" si="15"/>
        <v>3</v>
      </c>
      <c r="AP5" s="32">
        <f t="shared" si="16"/>
        <v>3</v>
      </c>
      <c r="AQ5" s="15">
        <f t="shared" si="17"/>
        <v>9</v>
      </c>
    </row>
    <row r="6" spans="1:43" ht="34" x14ac:dyDescent="0.2">
      <c r="A6" s="7">
        <v>5</v>
      </c>
      <c r="B6" s="8" t="s">
        <v>49</v>
      </c>
      <c r="C6" s="8" t="s">
        <v>50</v>
      </c>
      <c r="D6" s="8" t="s">
        <v>34</v>
      </c>
      <c r="E6" s="16" t="s">
        <v>39</v>
      </c>
      <c r="F6" s="8" t="s">
        <v>36</v>
      </c>
      <c r="G6" s="7">
        <v>520981</v>
      </c>
      <c r="H6" s="9">
        <v>45747</v>
      </c>
      <c r="I6" s="10">
        <f t="shared" si="0"/>
        <v>1</v>
      </c>
      <c r="J6" s="10">
        <v>-7378</v>
      </c>
      <c r="K6" s="10">
        <v>2980185</v>
      </c>
      <c r="L6" s="10">
        <v>2090430</v>
      </c>
      <c r="M6" s="10">
        <f t="shared" si="1"/>
        <v>1690205</v>
      </c>
      <c r="N6" s="10">
        <v>50087044</v>
      </c>
      <c r="O6" s="10">
        <v>63204636</v>
      </c>
      <c r="P6" s="10">
        <v>66084453</v>
      </c>
      <c r="Q6" s="10">
        <f t="shared" si="2"/>
        <v>59792044.333333336</v>
      </c>
      <c r="R6" s="11">
        <f t="shared" si="3"/>
        <v>6.2279396390581319</v>
      </c>
      <c r="S6" s="11">
        <f t="shared" si="4"/>
        <v>7.776643409780533</v>
      </c>
      <c r="T6" s="7">
        <v>2</v>
      </c>
      <c r="U6" s="7"/>
      <c r="V6" s="7"/>
      <c r="W6" s="13">
        <f t="shared" si="5"/>
        <v>2</v>
      </c>
      <c r="X6" s="7" t="s">
        <v>51</v>
      </c>
      <c r="Y6" s="7" t="s">
        <v>52</v>
      </c>
      <c r="Z6" s="7">
        <v>0</v>
      </c>
      <c r="AA6" s="13">
        <f t="shared" si="6"/>
        <v>0</v>
      </c>
      <c r="AB6" s="11" t="str">
        <f t="shared" si="7"/>
        <v/>
      </c>
      <c r="AC6" s="11">
        <v>0</v>
      </c>
      <c r="AD6" s="11">
        <v>0</v>
      </c>
      <c r="AE6" s="11" t="str">
        <f t="shared" si="8"/>
        <v/>
      </c>
      <c r="AF6" s="11">
        <v>0</v>
      </c>
      <c r="AG6" s="11">
        <v>0</v>
      </c>
      <c r="AH6" s="11" t="str">
        <f t="shared" si="9"/>
        <v/>
      </c>
      <c r="AI6" s="32" t="s">
        <v>1346</v>
      </c>
      <c r="AJ6" s="33">
        <f t="shared" si="10"/>
        <v>9</v>
      </c>
      <c r="AK6" s="34">
        <f t="shared" si="11"/>
        <v>9</v>
      </c>
      <c r="AL6" s="32">
        <f t="shared" si="12"/>
        <v>5</v>
      </c>
      <c r="AM6" s="32">
        <f t="shared" si="13"/>
        <v>3</v>
      </c>
      <c r="AN6" s="32">
        <f t="shared" si="14"/>
        <v>3</v>
      </c>
      <c r="AO6" s="32">
        <f t="shared" si="15"/>
        <v>3</v>
      </c>
      <c r="AP6" s="32">
        <f t="shared" si="16"/>
        <v>3</v>
      </c>
      <c r="AQ6" s="15">
        <f t="shared" si="17"/>
        <v>9</v>
      </c>
    </row>
    <row r="7" spans="1:43" ht="34" x14ac:dyDescent="0.2">
      <c r="A7" s="7">
        <v>6</v>
      </c>
      <c r="B7" s="8" t="s">
        <v>53</v>
      </c>
      <c r="C7" s="8" t="s">
        <v>54</v>
      </c>
      <c r="D7" s="8" t="s">
        <v>34</v>
      </c>
      <c r="E7" s="16" t="s">
        <v>39</v>
      </c>
      <c r="F7" s="8" t="s">
        <v>36</v>
      </c>
      <c r="G7" s="7">
        <v>590985</v>
      </c>
      <c r="H7" s="9">
        <v>45747</v>
      </c>
      <c r="I7" s="10">
        <f t="shared" si="0"/>
        <v>1</v>
      </c>
      <c r="J7" s="10">
        <v>425000</v>
      </c>
      <c r="K7" s="10">
        <v>6275780</v>
      </c>
      <c r="L7" s="10">
        <v>6654830</v>
      </c>
      <c r="M7" s="10">
        <f t="shared" si="1"/>
        <v>4451870</v>
      </c>
      <c r="N7" s="10">
        <v>85226768</v>
      </c>
      <c r="O7" s="10">
        <v>105912501</v>
      </c>
      <c r="P7" s="10">
        <v>115959839</v>
      </c>
      <c r="Q7" s="10">
        <f t="shared" si="2"/>
        <v>102366369.33333333</v>
      </c>
      <c r="R7" s="11">
        <f t="shared" si="3"/>
        <v>6.6485425714758222</v>
      </c>
      <c r="S7" s="11">
        <f t="shared" si="4"/>
        <v>8.0101573045161345</v>
      </c>
      <c r="T7" s="7"/>
      <c r="U7" s="7">
        <v>1</v>
      </c>
      <c r="V7" s="7"/>
      <c r="W7" s="13">
        <f t="shared" si="5"/>
        <v>1</v>
      </c>
      <c r="X7" s="7" t="s">
        <v>55</v>
      </c>
      <c r="Y7" s="7" t="s">
        <v>56</v>
      </c>
      <c r="Z7" s="7">
        <v>0</v>
      </c>
      <c r="AA7" s="13">
        <f t="shared" si="6"/>
        <v>0</v>
      </c>
      <c r="AB7" s="11" t="str">
        <f t="shared" si="7"/>
        <v/>
      </c>
      <c r="AC7" s="11">
        <v>0</v>
      </c>
      <c r="AD7" s="11">
        <v>0</v>
      </c>
      <c r="AE7" s="11" t="str">
        <f t="shared" si="8"/>
        <v/>
      </c>
      <c r="AF7" s="11">
        <v>0</v>
      </c>
      <c r="AG7" s="11">
        <v>0</v>
      </c>
      <c r="AH7" s="11" t="str">
        <f t="shared" si="9"/>
        <v/>
      </c>
      <c r="AI7" s="32" t="s">
        <v>1346</v>
      </c>
      <c r="AJ7" s="33">
        <f t="shared" si="10"/>
        <v>9</v>
      </c>
      <c r="AK7" s="34">
        <f t="shared" si="11"/>
        <v>9</v>
      </c>
      <c r="AL7" s="32">
        <f t="shared" si="12"/>
        <v>5</v>
      </c>
      <c r="AM7" s="32">
        <f t="shared" si="13"/>
        <v>3</v>
      </c>
      <c r="AN7" s="32">
        <f t="shared" si="14"/>
        <v>3</v>
      </c>
      <c r="AO7" s="32">
        <f t="shared" si="15"/>
        <v>3</v>
      </c>
      <c r="AP7" s="32">
        <f t="shared" si="16"/>
        <v>3</v>
      </c>
      <c r="AQ7" s="15">
        <f t="shared" si="17"/>
        <v>9</v>
      </c>
    </row>
    <row r="8" spans="1:43" ht="34" x14ac:dyDescent="0.2">
      <c r="A8" s="7">
        <v>7</v>
      </c>
      <c r="B8" s="8" t="s">
        <v>57</v>
      </c>
      <c r="C8" s="8" t="s">
        <v>58</v>
      </c>
      <c r="D8" s="8" t="s">
        <v>34</v>
      </c>
      <c r="E8" s="16" t="s">
        <v>39</v>
      </c>
      <c r="F8" s="8" t="s">
        <v>36</v>
      </c>
      <c r="G8" s="7">
        <v>590991</v>
      </c>
      <c r="H8" s="9">
        <v>45382</v>
      </c>
      <c r="I8" s="10">
        <f t="shared" si="0"/>
        <v>2</v>
      </c>
      <c r="J8" s="10">
        <v>1400000</v>
      </c>
      <c r="K8" s="10">
        <v>0</v>
      </c>
      <c r="L8" s="10">
        <v>0</v>
      </c>
      <c r="M8" s="10">
        <f t="shared" si="1"/>
        <v>466666.66666666669</v>
      </c>
      <c r="N8" s="10">
        <v>10688540</v>
      </c>
      <c r="O8" s="10">
        <v>9314886</v>
      </c>
      <c r="P8" s="10">
        <v>10623167</v>
      </c>
      <c r="Q8" s="10">
        <f t="shared" si="2"/>
        <v>10208864.333333334</v>
      </c>
      <c r="R8" s="11">
        <f t="shared" si="3"/>
        <v>5.6690077115886108</v>
      </c>
      <c r="S8" s="11">
        <f t="shared" si="4"/>
        <v>7.0089774750099112</v>
      </c>
      <c r="T8" s="7"/>
      <c r="U8" s="7"/>
      <c r="V8" s="7">
        <v>0</v>
      </c>
      <c r="W8" s="13">
        <f t="shared" si="5"/>
        <v>0</v>
      </c>
      <c r="X8" s="7" t="s">
        <v>41</v>
      </c>
      <c r="Y8" s="7" t="s">
        <v>59</v>
      </c>
      <c r="Z8" s="7" t="s">
        <v>59</v>
      </c>
      <c r="AA8" s="13">
        <f t="shared" si="6"/>
        <v>0</v>
      </c>
      <c r="AB8" s="11" t="str">
        <f t="shared" si="7"/>
        <v/>
      </c>
      <c r="AC8" s="11">
        <v>0</v>
      </c>
      <c r="AD8" s="11">
        <v>0</v>
      </c>
      <c r="AE8" s="11" t="str">
        <f t="shared" si="8"/>
        <v/>
      </c>
      <c r="AF8" s="11">
        <v>0</v>
      </c>
      <c r="AG8" s="11">
        <v>0</v>
      </c>
      <c r="AH8" s="11" t="str">
        <f t="shared" si="9"/>
        <v/>
      </c>
      <c r="AI8" s="32" t="s">
        <v>1346</v>
      </c>
      <c r="AJ8" s="33">
        <f t="shared" si="10"/>
        <v>5</v>
      </c>
      <c r="AK8" s="34">
        <f t="shared" si="11"/>
        <v>3</v>
      </c>
      <c r="AL8" s="32">
        <f t="shared" si="12"/>
        <v>3</v>
      </c>
      <c r="AM8" s="32">
        <f t="shared" si="13"/>
        <v>3</v>
      </c>
      <c r="AN8" s="32">
        <f t="shared" si="14"/>
        <v>3</v>
      </c>
      <c r="AO8" s="32">
        <f t="shared" si="15"/>
        <v>3</v>
      </c>
      <c r="AP8" s="32">
        <f t="shared" si="16"/>
        <v>3</v>
      </c>
      <c r="AQ8" s="15">
        <f t="shared" si="17"/>
        <v>9</v>
      </c>
    </row>
    <row r="9" spans="1:43" ht="51" x14ac:dyDescent="0.2">
      <c r="A9" s="7">
        <v>8</v>
      </c>
      <c r="B9" s="8" t="s">
        <v>60</v>
      </c>
      <c r="C9" s="8" t="s">
        <v>61</v>
      </c>
      <c r="D9" s="8" t="s">
        <v>34</v>
      </c>
      <c r="E9" s="16" t="s">
        <v>39</v>
      </c>
      <c r="F9" s="8" t="s">
        <v>36</v>
      </c>
      <c r="G9" s="7">
        <v>550984</v>
      </c>
      <c r="H9" s="9">
        <v>45747</v>
      </c>
      <c r="I9" s="10">
        <f t="shared" si="0"/>
        <v>1</v>
      </c>
      <c r="J9" s="10">
        <v>0</v>
      </c>
      <c r="K9" s="10">
        <v>1711140</v>
      </c>
      <c r="L9" s="10">
        <v>1212900</v>
      </c>
      <c r="M9" s="10">
        <f t="shared" si="1"/>
        <v>974680</v>
      </c>
      <c r="N9" s="10">
        <v>24092479</v>
      </c>
      <c r="O9" s="10">
        <v>38154279</v>
      </c>
      <c r="P9" s="10">
        <v>38786556</v>
      </c>
      <c r="Q9" s="10">
        <f t="shared" si="2"/>
        <v>33677771.333333336</v>
      </c>
      <c r="R9" s="11">
        <f t="shared" si="3"/>
        <v>5.9888625002027576</v>
      </c>
      <c r="S9" s="11">
        <f t="shared" si="4"/>
        <v>7.5273433567190224</v>
      </c>
      <c r="T9" s="7"/>
      <c r="U9" s="7"/>
      <c r="V9" s="7">
        <v>0</v>
      </c>
      <c r="W9" s="13">
        <f t="shared" si="5"/>
        <v>0</v>
      </c>
      <c r="X9" s="7" t="s">
        <v>55</v>
      </c>
      <c r="Y9" s="7" t="s">
        <v>56</v>
      </c>
      <c r="Z9" s="7">
        <v>0</v>
      </c>
      <c r="AA9" s="13">
        <f t="shared" si="6"/>
        <v>0</v>
      </c>
      <c r="AB9" s="11" t="str">
        <f t="shared" si="7"/>
        <v/>
      </c>
      <c r="AC9" s="11">
        <v>0</v>
      </c>
      <c r="AD9" s="11">
        <v>0</v>
      </c>
      <c r="AE9" s="11" t="str">
        <f t="shared" si="8"/>
        <v/>
      </c>
      <c r="AF9" s="11">
        <v>0</v>
      </c>
      <c r="AG9" s="11">
        <v>0</v>
      </c>
      <c r="AH9" s="11" t="str">
        <f t="shared" si="9"/>
        <v/>
      </c>
      <c r="AI9" s="32" t="s">
        <v>1346</v>
      </c>
      <c r="AJ9" s="33">
        <f t="shared" si="10"/>
        <v>7</v>
      </c>
      <c r="AK9" s="34">
        <f t="shared" si="11"/>
        <v>5</v>
      </c>
      <c r="AL9" s="32">
        <f t="shared" si="12"/>
        <v>3</v>
      </c>
      <c r="AM9" s="32">
        <f t="shared" si="13"/>
        <v>3</v>
      </c>
      <c r="AN9" s="32">
        <f t="shared" si="14"/>
        <v>3</v>
      </c>
      <c r="AO9" s="32">
        <f t="shared" si="15"/>
        <v>3</v>
      </c>
      <c r="AP9" s="32">
        <f t="shared" si="16"/>
        <v>3</v>
      </c>
      <c r="AQ9" s="15">
        <f t="shared" si="17"/>
        <v>9</v>
      </c>
    </row>
    <row r="10" spans="1:43" ht="34" x14ac:dyDescent="0.2">
      <c r="A10" s="7">
        <v>9</v>
      </c>
      <c r="B10" s="8" t="s">
        <v>62</v>
      </c>
      <c r="C10" s="8" t="s">
        <v>63</v>
      </c>
      <c r="D10" s="8" t="s">
        <v>34</v>
      </c>
      <c r="E10" s="16" t="s">
        <v>39</v>
      </c>
      <c r="F10" s="8" t="s">
        <v>36</v>
      </c>
      <c r="G10" s="7">
        <v>760982</v>
      </c>
      <c r="H10" s="9">
        <v>45016</v>
      </c>
      <c r="I10" s="10">
        <f t="shared" si="0"/>
        <v>3</v>
      </c>
      <c r="J10" s="10">
        <v>-705</v>
      </c>
      <c r="K10" s="10">
        <v>1216950</v>
      </c>
      <c r="L10" s="10">
        <v>857850</v>
      </c>
      <c r="M10" s="10">
        <f t="shared" si="1"/>
        <v>691600</v>
      </c>
      <c r="N10" s="10">
        <v>22475734</v>
      </c>
      <c r="O10" s="10">
        <v>22249382</v>
      </c>
      <c r="P10" s="10">
        <v>23074364</v>
      </c>
      <c r="Q10" s="10">
        <f t="shared" si="2"/>
        <v>22599826.666666668</v>
      </c>
      <c r="R10" s="11">
        <f t="shared" si="3"/>
        <v>5.8398556125575931</v>
      </c>
      <c r="S10" s="11">
        <f t="shared" si="4"/>
        <v>7.3541051274792117</v>
      </c>
      <c r="T10" s="7"/>
      <c r="U10" s="7">
        <v>0</v>
      </c>
      <c r="V10" s="7"/>
      <c r="W10" s="13">
        <f t="shared" si="5"/>
        <v>0</v>
      </c>
      <c r="X10" s="7" t="s">
        <v>47</v>
      </c>
      <c r="Y10" s="7" t="s">
        <v>48</v>
      </c>
      <c r="Z10" s="7">
        <v>0</v>
      </c>
      <c r="AA10" s="13">
        <f t="shared" si="6"/>
        <v>0</v>
      </c>
      <c r="AB10" s="11" t="str">
        <f t="shared" si="7"/>
        <v/>
      </c>
      <c r="AC10" s="11">
        <v>0</v>
      </c>
      <c r="AD10" s="11">
        <v>0</v>
      </c>
      <c r="AE10" s="11" t="str">
        <f t="shared" si="8"/>
        <v/>
      </c>
      <c r="AF10" s="11">
        <v>0</v>
      </c>
      <c r="AG10" s="11">
        <v>0</v>
      </c>
      <c r="AH10" s="11" t="str">
        <f t="shared" si="9"/>
        <v/>
      </c>
      <c r="AI10" s="32" t="s">
        <v>1346</v>
      </c>
      <c r="AJ10" s="33">
        <f t="shared" si="10"/>
        <v>5</v>
      </c>
      <c r="AK10" s="34">
        <f t="shared" si="11"/>
        <v>5</v>
      </c>
      <c r="AL10" s="32">
        <f t="shared" si="12"/>
        <v>3</v>
      </c>
      <c r="AM10" s="32">
        <f t="shared" si="13"/>
        <v>3</v>
      </c>
      <c r="AN10" s="32">
        <f t="shared" si="14"/>
        <v>3</v>
      </c>
      <c r="AO10" s="32">
        <f t="shared" si="15"/>
        <v>3</v>
      </c>
      <c r="AP10" s="32">
        <f t="shared" si="16"/>
        <v>3</v>
      </c>
      <c r="AQ10" s="15">
        <f t="shared" si="17"/>
        <v>9</v>
      </c>
    </row>
    <row r="11" spans="1:43" ht="51" x14ac:dyDescent="0.2">
      <c r="A11" s="7">
        <v>10</v>
      </c>
      <c r="B11" s="8" t="s">
        <v>64</v>
      </c>
      <c r="C11" s="8" t="s">
        <v>65</v>
      </c>
      <c r="D11" s="8" t="s">
        <v>34</v>
      </c>
      <c r="E11" s="16" t="s">
        <v>39</v>
      </c>
      <c r="F11" s="8" t="s">
        <v>36</v>
      </c>
      <c r="G11" s="7">
        <v>550983</v>
      </c>
      <c r="H11" s="9">
        <v>45382</v>
      </c>
      <c r="I11" s="10">
        <f t="shared" si="0"/>
        <v>2</v>
      </c>
      <c r="J11" s="10">
        <v>-9435</v>
      </c>
      <c r="K11" s="10">
        <v>62510</v>
      </c>
      <c r="L11" s="10">
        <v>173565</v>
      </c>
      <c r="M11" s="10">
        <f t="shared" si="1"/>
        <v>78691.666666666672</v>
      </c>
      <c r="N11" s="10">
        <v>7129134</v>
      </c>
      <c r="O11" s="10">
        <v>7922744</v>
      </c>
      <c r="P11" s="10">
        <v>7865086</v>
      </c>
      <c r="Q11" s="10">
        <f t="shared" si="2"/>
        <v>7638988</v>
      </c>
      <c r="R11" s="11">
        <f t="shared" si="3"/>
        <v>4.895934262542136</v>
      </c>
      <c r="S11" s="11">
        <f t="shared" si="4"/>
        <v>6.8830358846522719</v>
      </c>
      <c r="T11" s="7"/>
      <c r="U11" s="7"/>
      <c r="V11" s="7">
        <v>2</v>
      </c>
      <c r="W11" s="13">
        <f t="shared" si="5"/>
        <v>2</v>
      </c>
      <c r="X11" s="7" t="s">
        <v>41</v>
      </c>
      <c r="Y11" s="7" t="s">
        <v>59</v>
      </c>
      <c r="Z11" s="7" t="s">
        <v>59</v>
      </c>
      <c r="AA11" s="13">
        <f t="shared" si="6"/>
        <v>0</v>
      </c>
      <c r="AB11" s="11" t="str">
        <f t="shared" si="7"/>
        <v/>
      </c>
      <c r="AC11" s="11">
        <v>0</v>
      </c>
      <c r="AD11" s="11">
        <v>0</v>
      </c>
      <c r="AE11" s="11" t="str">
        <f t="shared" si="8"/>
        <v/>
      </c>
      <c r="AF11" s="11">
        <v>0</v>
      </c>
      <c r="AG11" s="11">
        <v>0</v>
      </c>
      <c r="AH11" s="11" t="str">
        <f t="shared" si="9"/>
        <v/>
      </c>
      <c r="AI11" s="32" t="s">
        <v>1346</v>
      </c>
      <c r="AJ11" s="33">
        <f t="shared" si="10"/>
        <v>3</v>
      </c>
      <c r="AK11" s="34">
        <f t="shared" si="11"/>
        <v>3</v>
      </c>
      <c r="AL11" s="32">
        <f t="shared" si="12"/>
        <v>5</v>
      </c>
      <c r="AM11" s="32">
        <f t="shared" si="13"/>
        <v>3</v>
      </c>
      <c r="AN11" s="32">
        <f t="shared" si="14"/>
        <v>3</v>
      </c>
      <c r="AO11" s="32">
        <f t="shared" si="15"/>
        <v>3</v>
      </c>
      <c r="AP11" s="32">
        <f t="shared" si="16"/>
        <v>3</v>
      </c>
      <c r="AQ11" s="15">
        <f t="shared" si="17"/>
        <v>9</v>
      </c>
    </row>
    <row r="12" spans="1:43" ht="34" x14ac:dyDescent="0.2">
      <c r="A12" s="7">
        <v>11</v>
      </c>
      <c r="B12" s="8" t="s">
        <v>66</v>
      </c>
      <c r="C12" s="8" t="s">
        <v>67</v>
      </c>
      <c r="D12" s="8" t="s">
        <v>34</v>
      </c>
      <c r="E12" s="16" t="s">
        <v>39</v>
      </c>
      <c r="F12" s="8" t="s">
        <v>36</v>
      </c>
      <c r="G12" s="17">
        <v>570989</v>
      </c>
      <c r="H12" s="9" t="s">
        <v>44</v>
      </c>
      <c r="I12" s="10" t="str">
        <f t="shared" si="0"/>
        <v>NA</v>
      </c>
      <c r="J12" s="10">
        <v>-64</v>
      </c>
      <c r="K12" s="10">
        <v>-839</v>
      </c>
      <c r="L12" s="10">
        <v>0</v>
      </c>
      <c r="M12" s="10">
        <f t="shared" si="1"/>
        <v>0</v>
      </c>
      <c r="N12" s="10">
        <v>6641530</v>
      </c>
      <c r="O12" s="10">
        <v>7285535</v>
      </c>
      <c r="P12" s="10">
        <v>3869784</v>
      </c>
      <c r="Q12" s="10">
        <f t="shared" si="2"/>
        <v>5932283</v>
      </c>
      <c r="R12" s="11" t="str">
        <f t="shared" si="3"/>
        <v/>
      </c>
      <c r="S12" s="11">
        <f t="shared" si="4"/>
        <v>6.7732219341096238</v>
      </c>
      <c r="T12" s="7"/>
      <c r="U12" s="7"/>
      <c r="V12" s="7"/>
      <c r="W12" s="13">
        <f t="shared" si="5"/>
        <v>0</v>
      </c>
      <c r="X12" s="7" t="s">
        <v>41</v>
      </c>
      <c r="Y12" s="7" t="s">
        <v>59</v>
      </c>
      <c r="Z12" s="7" t="s">
        <v>59</v>
      </c>
      <c r="AA12" s="13">
        <f t="shared" si="6"/>
        <v>0</v>
      </c>
      <c r="AB12" s="11" t="str">
        <f t="shared" si="7"/>
        <v/>
      </c>
      <c r="AC12" s="11">
        <v>0</v>
      </c>
      <c r="AD12" s="11">
        <v>0</v>
      </c>
      <c r="AE12" s="11" t="str">
        <f t="shared" si="8"/>
        <v/>
      </c>
      <c r="AF12" s="11">
        <v>0</v>
      </c>
      <c r="AG12" s="11">
        <v>0</v>
      </c>
      <c r="AH12" s="11" t="str">
        <f t="shared" si="9"/>
        <v/>
      </c>
      <c r="AI12" s="32" t="s">
        <v>1347</v>
      </c>
      <c r="AJ12" s="33">
        <f t="shared" si="10"/>
        <v>3</v>
      </c>
      <c r="AK12" s="34">
        <f t="shared" si="11"/>
        <v>3</v>
      </c>
      <c r="AL12" s="32">
        <f t="shared" si="12"/>
        <v>3</v>
      </c>
      <c r="AM12" s="32">
        <f t="shared" si="13"/>
        <v>9</v>
      </c>
      <c r="AN12" s="32">
        <f t="shared" si="14"/>
        <v>3</v>
      </c>
      <c r="AO12" s="32">
        <f t="shared" si="15"/>
        <v>3</v>
      </c>
      <c r="AP12" s="32">
        <f t="shared" si="16"/>
        <v>3</v>
      </c>
      <c r="AQ12" s="15">
        <f t="shared" si="17"/>
        <v>0</v>
      </c>
    </row>
    <row r="13" spans="1:43" ht="34" x14ac:dyDescent="0.2">
      <c r="A13" s="7">
        <v>12</v>
      </c>
      <c r="B13" s="8" t="s">
        <v>68</v>
      </c>
      <c r="C13" s="8" t="s">
        <v>69</v>
      </c>
      <c r="D13" s="8" t="s">
        <v>34</v>
      </c>
      <c r="E13" s="16" t="s">
        <v>39</v>
      </c>
      <c r="F13" s="8" t="s">
        <v>36</v>
      </c>
      <c r="G13" s="7">
        <v>670983</v>
      </c>
      <c r="H13" s="9">
        <v>45382</v>
      </c>
      <c r="I13" s="10">
        <f t="shared" si="0"/>
        <v>2</v>
      </c>
      <c r="J13" s="10">
        <v>-19124</v>
      </c>
      <c r="K13" s="10">
        <v>246715</v>
      </c>
      <c r="L13" s="10">
        <v>0</v>
      </c>
      <c r="M13" s="10">
        <f t="shared" si="1"/>
        <v>82238.333333333328</v>
      </c>
      <c r="N13" s="10">
        <v>22480400</v>
      </c>
      <c r="O13" s="10">
        <v>19482286</v>
      </c>
      <c r="P13" s="10">
        <v>20782155</v>
      </c>
      <c r="Q13" s="10">
        <f t="shared" si="2"/>
        <v>20914947</v>
      </c>
      <c r="R13" s="11">
        <f t="shared" si="3"/>
        <v>4.9150795810915202</v>
      </c>
      <c r="S13" s="11">
        <f t="shared" si="4"/>
        <v>7.320456789148964</v>
      </c>
      <c r="T13" s="7"/>
      <c r="U13" s="7"/>
      <c r="V13" s="7">
        <v>0</v>
      </c>
      <c r="W13" s="13">
        <f t="shared" si="5"/>
        <v>0</v>
      </c>
      <c r="X13" s="7" t="s">
        <v>41</v>
      </c>
      <c r="Y13" s="7" t="s">
        <v>59</v>
      </c>
      <c r="Z13" s="7" t="s">
        <v>59</v>
      </c>
      <c r="AA13" s="13">
        <f t="shared" si="6"/>
        <v>0</v>
      </c>
      <c r="AB13" s="11" t="str">
        <f t="shared" si="7"/>
        <v/>
      </c>
      <c r="AC13" s="11">
        <v>0</v>
      </c>
      <c r="AD13" s="11">
        <v>0</v>
      </c>
      <c r="AE13" s="11" t="str">
        <f t="shared" si="8"/>
        <v/>
      </c>
      <c r="AF13" s="11">
        <v>0</v>
      </c>
      <c r="AG13" s="11">
        <v>0</v>
      </c>
      <c r="AH13" s="11" t="str">
        <f t="shared" si="9"/>
        <v/>
      </c>
      <c r="AI13" s="32" t="s">
        <v>1346</v>
      </c>
      <c r="AJ13" s="33">
        <f t="shared" si="10"/>
        <v>3</v>
      </c>
      <c r="AK13" s="34">
        <f t="shared" si="11"/>
        <v>5</v>
      </c>
      <c r="AL13" s="32">
        <f t="shared" si="12"/>
        <v>3</v>
      </c>
      <c r="AM13" s="32">
        <f t="shared" si="13"/>
        <v>3</v>
      </c>
      <c r="AN13" s="32">
        <f t="shared" si="14"/>
        <v>3</v>
      </c>
      <c r="AO13" s="32">
        <f t="shared" si="15"/>
        <v>3</v>
      </c>
      <c r="AP13" s="32">
        <f t="shared" si="16"/>
        <v>3</v>
      </c>
      <c r="AQ13" s="15">
        <f t="shared" si="17"/>
        <v>9</v>
      </c>
    </row>
    <row r="14" spans="1:43" ht="34" x14ac:dyDescent="0.2">
      <c r="A14" s="7">
        <v>13</v>
      </c>
      <c r="B14" s="8" t="s">
        <v>70</v>
      </c>
      <c r="C14" s="8" t="s">
        <v>71</v>
      </c>
      <c r="D14" s="8" t="s">
        <v>34</v>
      </c>
      <c r="E14" s="16" t="s">
        <v>39</v>
      </c>
      <c r="F14" s="8" t="s">
        <v>36</v>
      </c>
      <c r="G14" s="7">
        <v>510984</v>
      </c>
      <c r="H14" s="9">
        <v>45382</v>
      </c>
      <c r="I14" s="10">
        <f t="shared" si="0"/>
        <v>2</v>
      </c>
      <c r="J14" s="10">
        <v>-135</v>
      </c>
      <c r="K14" s="10">
        <v>-15644</v>
      </c>
      <c r="L14" s="10">
        <v>0</v>
      </c>
      <c r="M14" s="10">
        <f t="shared" si="1"/>
        <v>0</v>
      </c>
      <c r="N14" s="10">
        <v>9809394</v>
      </c>
      <c r="O14" s="10">
        <v>10920299</v>
      </c>
      <c r="P14" s="10">
        <v>9438021</v>
      </c>
      <c r="Q14" s="10">
        <f t="shared" si="2"/>
        <v>10055904.666666666</v>
      </c>
      <c r="R14" s="11" t="str">
        <f t="shared" si="3"/>
        <v/>
      </c>
      <c r="S14" s="11">
        <f t="shared" si="4"/>
        <v>7.0024211906287483</v>
      </c>
      <c r="T14" s="7"/>
      <c r="U14" s="7"/>
      <c r="V14" s="7">
        <v>0</v>
      </c>
      <c r="W14" s="13">
        <f t="shared" si="5"/>
        <v>0</v>
      </c>
      <c r="X14" s="7" t="s">
        <v>47</v>
      </c>
      <c r="Y14" s="7" t="s">
        <v>48</v>
      </c>
      <c r="Z14" s="7">
        <v>0</v>
      </c>
      <c r="AA14" s="13">
        <f t="shared" si="6"/>
        <v>0</v>
      </c>
      <c r="AB14" s="11" t="str">
        <f t="shared" si="7"/>
        <v/>
      </c>
      <c r="AC14" s="11">
        <v>0</v>
      </c>
      <c r="AD14" s="11">
        <v>0</v>
      </c>
      <c r="AE14" s="11" t="str">
        <f t="shared" si="8"/>
        <v/>
      </c>
      <c r="AF14" s="11">
        <v>0</v>
      </c>
      <c r="AG14" s="11">
        <v>0</v>
      </c>
      <c r="AH14" s="11" t="str">
        <f t="shared" si="9"/>
        <v/>
      </c>
      <c r="AI14" s="32" t="s">
        <v>1346</v>
      </c>
      <c r="AJ14" s="33">
        <f t="shared" si="10"/>
        <v>3</v>
      </c>
      <c r="AK14" s="34">
        <f t="shared" si="11"/>
        <v>3</v>
      </c>
      <c r="AL14" s="32">
        <f t="shared" si="12"/>
        <v>3</v>
      </c>
      <c r="AM14" s="32">
        <f t="shared" si="13"/>
        <v>3</v>
      </c>
      <c r="AN14" s="32">
        <f t="shared" si="14"/>
        <v>3</v>
      </c>
      <c r="AO14" s="32">
        <f t="shared" si="15"/>
        <v>3</v>
      </c>
      <c r="AP14" s="32">
        <f t="shared" si="16"/>
        <v>3</v>
      </c>
      <c r="AQ14" s="15">
        <f t="shared" si="17"/>
        <v>9</v>
      </c>
    </row>
    <row r="15" spans="1:43" ht="51" x14ac:dyDescent="0.2">
      <c r="A15" s="7">
        <v>14</v>
      </c>
      <c r="B15" s="8" t="s">
        <v>72</v>
      </c>
      <c r="C15" s="8" t="s">
        <v>73</v>
      </c>
      <c r="D15" s="8" t="s">
        <v>34</v>
      </c>
      <c r="E15" s="16" t="s">
        <v>39</v>
      </c>
      <c r="F15" s="8" t="s">
        <v>36</v>
      </c>
      <c r="G15" s="7">
        <v>530983</v>
      </c>
      <c r="H15" s="9">
        <v>45382</v>
      </c>
      <c r="I15" s="10">
        <f t="shared" si="0"/>
        <v>2</v>
      </c>
      <c r="J15" s="10">
        <v>-40316</v>
      </c>
      <c r="K15" s="10">
        <v>-62468</v>
      </c>
      <c r="L15" s="10">
        <v>159496</v>
      </c>
      <c r="M15" s="10">
        <f t="shared" si="1"/>
        <v>53165.333333333336</v>
      </c>
      <c r="N15" s="10">
        <v>46217517</v>
      </c>
      <c r="O15" s="10">
        <v>49545551</v>
      </c>
      <c r="P15" s="10">
        <v>50563234</v>
      </c>
      <c r="Q15" s="10">
        <f t="shared" si="2"/>
        <v>48775434</v>
      </c>
      <c r="R15" s="11">
        <f t="shared" si="3"/>
        <v>4.7256367098155856</v>
      </c>
      <c r="S15" s="11">
        <f t="shared" si="4"/>
        <v>7.6882011513060675</v>
      </c>
      <c r="T15" s="7"/>
      <c r="U15" s="7"/>
      <c r="V15" s="7">
        <v>1</v>
      </c>
      <c r="W15" s="13">
        <f t="shared" si="5"/>
        <v>1</v>
      </c>
      <c r="X15" s="7" t="s">
        <v>41</v>
      </c>
      <c r="Y15" s="7" t="s">
        <v>59</v>
      </c>
      <c r="Z15" s="7" t="s">
        <v>59</v>
      </c>
      <c r="AA15" s="13">
        <f t="shared" si="6"/>
        <v>0</v>
      </c>
      <c r="AB15" s="11" t="str">
        <f t="shared" si="7"/>
        <v/>
      </c>
      <c r="AC15" s="11">
        <v>0</v>
      </c>
      <c r="AD15" s="11">
        <v>0</v>
      </c>
      <c r="AE15" s="11" t="str">
        <f t="shared" si="8"/>
        <v/>
      </c>
      <c r="AF15" s="11">
        <v>0</v>
      </c>
      <c r="AG15" s="11">
        <v>0</v>
      </c>
      <c r="AH15" s="11" t="str">
        <f t="shared" si="9"/>
        <v/>
      </c>
      <c r="AI15" s="32" t="s">
        <v>1346</v>
      </c>
      <c r="AJ15" s="33">
        <f t="shared" si="10"/>
        <v>3</v>
      </c>
      <c r="AK15" s="34">
        <f t="shared" si="11"/>
        <v>7</v>
      </c>
      <c r="AL15" s="32">
        <f t="shared" si="12"/>
        <v>5</v>
      </c>
      <c r="AM15" s="32">
        <f t="shared" si="13"/>
        <v>3</v>
      </c>
      <c r="AN15" s="32">
        <f t="shared" si="14"/>
        <v>3</v>
      </c>
      <c r="AO15" s="32">
        <f t="shared" si="15"/>
        <v>3</v>
      </c>
      <c r="AP15" s="32">
        <f t="shared" si="16"/>
        <v>3</v>
      </c>
      <c r="AQ15" s="15">
        <f t="shared" si="17"/>
        <v>9</v>
      </c>
    </row>
    <row r="16" spans="1:43" ht="34" x14ac:dyDescent="0.2">
      <c r="A16" s="7">
        <v>15</v>
      </c>
      <c r="B16" s="8" t="s">
        <v>74</v>
      </c>
      <c r="C16" s="8" t="s">
        <v>75</v>
      </c>
      <c r="D16" s="8" t="s">
        <v>34</v>
      </c>
      <c r="E16" s="16" t="s">
        <v>39</v>
      </c>
      <c r="F16" s="8" t="s">
        <v>36</v>
      </c>
      <c r="G16" s="7"/>
      <c r="H16" s="9" t="s">
        <v>44</v>
      </c>
      <c r="I16" s="10" t="str">
        <f t="shared" si="0"/>
        <v>NA</v>
      </c>
      <c r="J16" s="10" t="s">
        <v>40</v>
      </c>
      <c r="K16" s="10" t="s">
        <v>40</v>
      </c>
      <c r="L16" s="10" t="s">
        <v>40</v>
      </c>
      <c r="M16" s="10">
        <f t="shared" si="1"/>
        <v>0</v>
      </c>
      <c r="N16" s="10" t="s">
        <v>40</v>
      </c>
      <c r="O16" s="10" t="s">
        <v>40</v>
      </c>
      <c r="P16" s="10" t="s">
        <v>40</v>
      </c>
      <c r="Q16" s="10">
        <f t="shared" si="2"/>
        <v>0</v>
      </c>
      <c r="R16" s="11" t="str">
        <f t="shared" si="3"/>
        <v/>
      </c>
      <c r="S16" s="11" t="str">
        <f t="shared" si="4"/>
        <v/>
      </c>
      <c r="T16" s="7"/>
      <c r="U16" s="7"/>
      <c r="V16" s="7"/>
      <c r="W16" s="13">
        <f t="shared" si="5"/>
        <v>0</v>
      </c>
      <c r="X16" s="7" t="s">
        <v>41</v>
      </c>
      <c r="Y16" s="7" t="s">
        <v>59</v>
      </c>
      <c r="Z16" s="7" t="s">
        <v>59</v>
      </c>
      <c r="AA16" s="13">
        <f t="shared" si="6"/>
        <v>0</v>
      </c>
      <c r="AB16" s="11" t="str">
        <f t="shared" si="7"/>
        <v/>
      </c>
      <c r="AC16" s="11">
        <v>0</v>
      </c>
      <c r="AD16" s="11">
        <v>0</v>
      </c>
      <c r="AE16" s="11" t="str">
        <f t="shared" si="8"/>
        <v/>
      </c>
      <c r="AF16" s="11">
        <v>0</v>
      </c>
      <c r="AG16" s="11">
        <v>0</v>
      </c>
      <c r="AH16" s="11" t="str">
        <f t="shared" si="9"/>
        <v/>
      </c>
      <c r="AI16" s="32" t="s">
        <v>1346</v>
      </c>
      <c r="AJ16" s="33">
        <f t="shared" si="10"/>
        <v>3</v>
      </c>
      <c r="AK16" s="34">
        <f t="shared" si="11"/>
        <v>3</v>
      </c>
      <c r="AL16" s="32">
        <f t="shared" si="12"/>
        <v>3</v>
      </c>
      <c r="AM16" s="32">
        <f t="shared" si="13"/>
        <v>9</v>
      </c>
      <c r="AN16" s="32">
        <f t="shared" si="14"/>
        <v>3</v>
      </c>
      <c r="AO16" s="32">
        <f t="shared" si="15"/>
        <v>3</v>
      </c>
      <c r="AP16" s="32">
        <f t="shared" si="16"/>
        <v>3</v>
      </c>
      <c r="AQ16" s="15">
        <f t="shared" si="17"/>
        <v>9</v>
      </c>
    </row>
    <row r="17" spans="1:43" ht="34" x14ac:dyDescent="0.2">
      <c r="A17" s="7">
        <v>16</v>
      </c>
      <c r="B17" s="8" t="s">
        <v>76</v>
      </c>
      <c r="C17" s="8" t="s">
        <v>77</v>
      </c>
      <c r="D17" s="8" t="s">
        <v>34</v>
      </c>
      <c r="E17" s="16" t="s">
        <v>39</v>
      </c>
      <c r="F17" s="8" t="s">
        <v>36</v>
      </c>
      <c r="G17" s="7">
        <v>680992</v>
      </c>
      <c r="H17" s="9">
        <v>45382</v>
      </c>
      <c r="I17" s="10">
        <f t="shared" si="0"/>
        <v>2</v>
      </c>
      <c r="J17" s="10">
        <v>1609848</v>
      </c>
      <c r="K17" s="10">
        <v>-2390</v>
      </c>
      <c r="L17" s="10">
        <v>1750945</v>
      </c>
      <c r="M17" s="10">
        <f t="shared" si="1"/>
        <v>1120264.3333333333</v>
      </c>
      <c r="N17" s="10">
        <v>26715586</v>
      </c>
      <c r="O17" s="10">
        <v>28118613</v>
      </c>
      <c r="P17" s="10">
        <v>31626650</v>
      </c>
      <c r="Q17" s="10">
        <f t="shared" si="2"/>
        <v>28820283</v>
      </c>
      <c r="R17" s="11">
        <f t="shared" si="3"/>
        <v>6.0493208969157948</v>
      </c>
      <c r="S17" s="11">
        <f t="shared" si="4"/>
        <v>7.459698256111043</v>
      </c>
      <c r="T17" s="7"/>
      <c r="U17" s="7"/>
      <c r="V17" s="7">
        <v>4</v>
      </c>
      <c r="W17" s="13">
        <f t="shared" si="5"/>
        <v>4</v>
      </c>
      <c r="X17" s="7" t="s">
        <v>41</v>
      </c>
      <c r="Y17" s="7" t="s">
        <v>59</v>
      </c>
      <c r="Z17" s="7" t="s">
        <v>59</v>
      </c>
      <c r="AA17" s="13">
        <f t="shared" si="6"/>
        <v>0</v>
      </c>
      <c r="AB17" s="11" t="str">
        <f t="shared" si="7"/>
        <v/>
      </c>
      <c r="AC17" s="11">
        <v>0</v>
      </c>
      <c r="AD17" s="11">
        <v>0</v>
      </c>
      <c r="AE17" s="11" t="str">
        <f t="shared" si="8"/>
        <v/>
      </c>
      <c r="AF17" s="11">
        <v>0</v>
      </c>
      <c r="AG17" s="11">
        <v>0</v>
      </c>
      <c r="AH17" s="11" t="str">
        <f t="shared" si="9"/>
        <v/>
      </c>
      <c r="AI17" s="32" t="s">
        <v>1346</v>
      </c>
      <c r="AJ17" s="33">
        <f t="shared" si="10"/>
        <v>7</v>
      </c>
      <c r="AK17" s="34">
        <f t="shared" si="11"/>
        <v>5</v>
      </c>
      <c r="AL17" s="32">
        <f t="shared" si="12"/>
        <v>7</v>
      </c>
      <c r="AM17" s="32">
        <f t="shared" si="13"/>
        <v>3</v>
      </c>
      <c r="AN17" s="32">
        <f t="shared" si="14"/>
        <v>3</v>
      </c>
      <c r="AO17" s="32">
        <f t="shared" si="15"/>
        <v>3</v>
      </c>
      <c r="AP17" s="32">
        <f t="shared" si="16"/>
        <v>3</v>
      </c>
      <c r="AQ17" s="15">
        <f t="shared" si="17"/>
        <v>9</v>
      </c>
    </row>
    <row r="18" spans="1:43" ht="34" x14ac:dyDescent="0.2">
      <c r="A18" s="7">
        <v>17</v>
      </c>
      <c r="B18" s="8" t="s">
        <v>78</v>
      </c>
      <c r="C18" s="8" t="s">
        <v>79</v>
      </c>
      <c r="D18" s="8" t="s">
        <v>34</v>
      </c>
      <c r="E18" s="16" t="s">
        <v>39</v>
      </c>
      <c r="F18" s="8" t="s">
        <v>36</v>
      </c>
      <c r="G18" s="7">
        <v>740981</v>
      </c>
      <c r="H18" s="9">
        <v>45382</v>
      </c>
      <c r="I18" s="10">
        <f t="shared" si="0"/>
        <v>2</v>
      </c>
      <c r="J18" s="10">
        <v>0</v>
      </c>
      <c r="K18" s="10">
        <v>255636</v>
      </c>
      <c r="L18" s="10">
        <v>-9658</v>
      </c>
      <c r="M18" s="10">
        <f t="shared" si="1"/>
        <v>85212</v>
      </c>
      <c r="N18" s="10">
        <v>47499989</v>
      </c>
      <c r="O18" s="10">
        <v>54140421</v>
      </c>
      <c r="P18" s="10">
        <v>58176741</v>
      </c>
      <c r="Q18" s="10">
        <f t="shared" si="2"/>
        <v>53272383.666666664</v>
      </c>
      <c r="R18" s="11">
        <f t="shared" si="3"/>
        <v>4.9305058553017025</v>
      </c>
      <c r="S18" s="11">
        <f t="shared" si="4"/>
        <v>7.7265021378284651</v>
      </c>
      <c r="T18" s="7"/>
      <c r="U18" s="7"/>
      <c r="V18" s="7">
        <v>0</v>
      </c>
      <c r="W18" s="13">
        <f t="shared" si="5"/>
        <v>0</v>
      </c>
      <c r="X18" s="7" t="s">
        <v>41</v>
      </c>
      <c r="Y18" s="7" t="s">
        <v>59</v>
      </c>
      <c r="Z18" s="7" t="s">
        <v>59</v>
      </c>
      <c r="AA18" s="13">
        <f t="shared" si="6"/>
        <v>0</v>
      </c>
      <c r="AB18" s="11" t="str">
        <f t="shared" si="7"/>
        <v/>
      </c>
      <c r="AC18" s="11">
        <v>0</v>
      </c>
      <c r="AD18" s="11">
        <v>0</v>
      </c>
      <c r="AE18" s="11" t="str">
        <f t="shared" si="8"/>
        <v/>
      </c>
      <c r="AF18" s="11">
        <v>0</v>
      </c>
      <c r="AG18" s="11">
        <v>0</v>
      </c>
      <c r="AH18" s="11" t="str">
        <f t="shared" si="9"/>
        <v/>
      </c>
      <c r="AI18" s="32" t="s">
        <v>1346</v>
      </c>
      <c r="AJ18" s="33">
        <f t="shared" si="10"/>
        <v>3</v>
      </c>
      <c r="AK18" s="34">
        <f t="shared" si="11"/>
        <v>7</v>
      </c>
      <c r="AL18" s="32">
        <f t="shared" si="12"/>
        <v>3</v>
      </c>
      <c r="AM18" s="32">
        <f t="shared" si="13"/>
        <v>3</v>
      </c>
      <c r="AN18" s="32">
        <f t="shared" si="14"/>
        <v>3</v>
      </c>
      <c r="AO18" s="32">
        <f t="shared" si="15"/>
        <v>3</v>
      </c>
      <c r="AP18" s="32">
        <f t="shared" si="16"/>
        <v>3</v>
      </c>
      <c r="AQ18" s="15">
        <f t="shared" si="17"/>
        <v>9</v>
      </c>
    </row>
    <row r="19" spans="1:43" ht="34" x14ac:dyDescent="0.2">
      <c r="A19" s="7">
        <v>18</v>
      </c>
      <c r="B19" s="8" t="s">
        <v>80</v>
      </c>
      <c r="C19" s="8" t="s">
        <v>81</v>
      </c>
      <c r="D19" s="8" t="s">
        <v>34</v>
      </c>
      <c r="E19" s="16" t="s">
        <v>39</v>
      </c>
      <c r="F19" s="8" t="s">
        <v>36</v>
      </c>
      <c r="G19" s="7">
        <v>740467</v>
      </c>
      <c r="H19" s="9" t="s">
        <v>44</v>
      </c>
      <c r="I19" s="10" t="str">
        <f t="shared" si="0"/>
        <v>NA</v>
      </c>
      <c r="J19" s="10" t="s">
        <v>40</v>
      </c>
      <c r="K19" s="10" t="s">
        <v>40</v>
      </c>
      <c r="L19" s="10" t="s">
        <v>40</v>
      </c>
      <c r="M19" s="10">
        <f t="shared" si="1"/>
        <v>0</v>
      </c>
      <c r="N19" s="10">
        <v>0</v>
      </c>
      <c r="O19" s="10">
        <v>0</v>
      </c>
      <c r="P19" s="10" t="s">
        <v>44</v>
      </c>
      <c r="Q19" s="10">
        <f t="shared" si="2"/>
        <v>0</v>
      </c>
      <c r="R19" s="11" t="str">
        <f t="shared" si="3"/>
        <v/>
      </c>
      <c r="S19" s="11" t="str">
        <f t="shared" si="4"/>
        <v/>
      </c>
      <c r="T19" s="7"/>
      <c r="U19" s="7"/>
      <c r="V19" s="7"/>
      <c r="W19" s="13">
        <f t="shared" si="5"/>
        <v>0</v>
      </c>
      <c r="X19" s="7" t="s">
        <v>41</v>
      </c>
      <c r="Y19" s="7" t="s">
        <v>59</v>
      </c>
      <c r="Z19" s="7" t="s">
        <v>59</v>
      </c>
      <c r="AA19" s="13">
        <f t="shared" si="6"/>
        <v>0</v>
      </c>
      <c r="AB19" s="11" t="str">
        <f t="shared" si="7"/>
        <v/>
      </c>
      <c r="AC19" s="11">
        <v>0</v>
      </c>
      <c r="AD19" s="11">
        <v>0</v>
      </c>
      <c r="AE19" s="11" t="str">
        <f t="shared" si="8"/>
        <v/>
      </c>
      <c r="AF19" s="11">
        <v>0</v>
      </c>
      <c r="AG19" s="11">
        <v>0</v>
      </c>
      <c r="AH19" s="11" t="str">
        <f t="shared" si="9"/>
        <v/>
      </c>
      <c r="AI19" s="32" t="s">
        <v>1346</v>
      </c>
      <c r="AJ19" s="33">
        <f t="shared" si="10"/>
        <v>3</v>
      </c>
      <c r="AK19" s="34">
        <f t="shared" si="11"/>
        <v>3</v>
      </c>
      <c r="AL19" s="32">
        <f t="shared" si="12"/>
        <v>3</v>
      </c>
      <c r="AM19" s="32">
        <f t="shared" si="13"/>
        <v>9</v>
      </c>
      <c r="AN19" s="32">
        <f t="shared" si="14"/>
        <v>3</v>
      </c>
      <c r="AO19" s="32">
        <f t="shared" si="15"/>
        <v>3</v>
      </c>
      <c r="AP19" s="32">
        <f t="shared" si="16"/>
        <v>3</v>
      </c>
      <c r="AQ19" s="15">
        <f t="shared" si="17"/>
        <v>9</v>
      </c>
    </row>
    <row r="20" spans="1:43" ht="51" x14ac:dyDescent="0.2">
      <c r="A20" s="7">
        <v>19</v>
      </c>
      <c r="B20" s="8" t="s">
        <v>82</v>
      </c>
      <c r="C20" s="8" t="s">
        <v>83</v>
      </c>
      <c r="D20" s="8" t="s">
        <v>34</v>
      </c>
      <c r="E20" s="16" t="s">
        <v>39</v>
      </c>
      <c r="F20" s="8" t="s">
        <v>36</v>
      </c>
      <c r="G20" s="7" t="s">
        <v>44</v>
      </c>
      <c r="H20" s="9">
        <v>42460</v>
      </c>
      <c r="I20" s="10">
        <f t="shared" si="0"/>
        <v>10</v>
      </c>
      <c r="J20" s="10" t="s">
        <v>40</v>
      </c>
      <c r="K20" s="10" t="s">
        <v>40</v>
      </c>
      <c r="L20" s="10" t="s">
        <v>40</v>
      </c>
      <c r="M20" s="10">
        <f t="shared" si="1"/>
        <v>0</v>
      </c>
      <c r="N20" s="10" t="s">
        <v>40</v>
      </c>
      <c r="O20" s="10" t="s">
        <v>40</v>
      </c>
      <c r="P20" s="10" t="s">
        <v>40</v>
      </c>
      <c r="Q20" s="10">
        <f t="shared" si="2"/>
        <v>0</v>
      </c>
      <c r="R20" s="11" t="str">
        <f t="shared" si="3"/>
        <v/>
      </c>
      <c r="S20" s="11" t="str">
        <f t="shared" si="4"/>
        <v/>
      </c>
      <c r="T20" s="7"/>
      <c r="U20" s="7"/>
      <c r="V20" s="7"/>
      <c r="W20" s="13">
        <f t="shared" si="5"/>
        <v>0</v>
      </c>
      <c r="X20" s="7" t="s">
        <v>84</v>
      </c>
      <c r="Y20" s="7" t="s">
        <v>85</v>
      </c>
      <c r="Z20" s="7">
        <v>2</v>
      </c>
      <c r="AA20" s="13">
        <f t="shared" si="6"/>
        <v>2</v>
      </c>
      <c r="AB20" s="11">
        <f t="shared" si="7"/>
        <v>0.47712125471966244</v>
      </c>
      <c r="AC20" s="11">
        <v>0</v>
      </c>
      <c r="AD20" s="11">
        <v>0</v>
      </c>
      <c r="AE20" s="11" t="str">
        <f t="shared" si="8"/>
        <v/>
      </c>
      <c r="AF20" s="11">
        <v>0</v>
      </c>
      <c r="AG20" s="11">
        <v>0</v>
      </c>
      <c r="AH20" s="11" t="str">
        <f t="shared" si="9"/>
        <v/>
      </c>
      <c r="AI20" s="32" t="s">
        <v>1347</v>
      </c>
      <c r="AJ20" s="33">
        <f t="shared" si="10"/>
        <v>3</v>
      </c>
      <c r="AK20" s="34">
        <f t="shared" si="11"/>
        <v>3</v>
      </c>
      <c r="AL20" s="32">
        <f t="shared" si="12"/>
        <v>3</v>
      </c>
      <c r="AM20" s="32">
        <f t="shared" si="13"/>
        <v>7</v>
      </c>
      <c r="AN20" s="32">
        <f t="shared" si="14"/>
        <v>5</v>
      </c>
      <c r="AO20" s="32">
        <f t="shared" si="15"/>
        <v>3</v>
      </c>
      <c r="AP20" s="32">
        <f t="shared" si="16"/>
        <v>3</v>
      </c>
      <c r="AQ20" s="15">
        <f t="shared" si="17"/>
        <v>0</v>
      </c>
    </row>
    <row r="21" spans="1:43" ht="34" x14ac:dyDescent="0.2">
      <c r="A21" s="7">
        <v>20</v>
      </c>
      <c r="B21" s="8" t="s">
        <v>86</v>
      </c>
      <c r="C21" s="8" t="s">
        <v>87</v>
      </c>
      <c r="D21" s="8" t="s">
        <v>34</v>
      </c>
      <c r="E21" s="16" t="s">
        <v>39</v>
      </c>
      <c r="F21" s="8" t="s">
        <v>36</v>
      </c>
      <c r="G21" s="7">
        <v>580983</v>
      </c>
      <c r="H21" s="9">
        <v>45382</v>
      </c>
      <c r="I21" s="10">
        <f t="shared" si="0"/>
        <v>2</v>
      </c>
      <c r="J21" s="10">
        <v>-20211</v>
      </c>
      <c r="K21" s="10">
        <v>-26224</v>
      </c>
      <c r="L21" s="10">
        <v>-59605</v>
      </c>
      <c r="M21" s="10">
        <f t="shared" si="1"/>
        <v>0</v>
      </c>
      <c r="N21" s="10">
        <v>29230879</v>
      </c>
      <c r="O21" s="10">
        <v>26080671</v>
      </c>
      <c r="P21" s="10">
        <v>30128935</v>
      </c>
      <c r="Q21" s="10">
        <f t="shared" si="2"/>
        <v>28480161.666666668</v>
      </c>
      <c r="R21" s="11" t="str">
        <f t="shared" si="3"/>
        <v/>
      </c>
      <c r="S21" s="11">
        <f t="shared" si="4"/>
        <v>7.4545424654786521</v>
      </c>
      <c r="T21" s="7"/>
      <c r="U21" s="7"/>
      <c r="V21" s="7">
        <v>1</v>
      </c>
      <c r="W21" s="13">
        <f t="shared" si="5"/>
        <v>1</v>
      </c>
      <c r="X21" s="7" t="s">
        <v>41</v>
      </c>
      <c r="Y21" s="7" t="s">
        <v>59</v>
      </c>
      <c r="Z21" s="7" t="s">
        <v>59</v>
      </c>
      <c r="AA21" s="13">
        <f t="shared" si="6"/>
        <v>0</v>
      </c>
      <c r="AB21" s="11" t="str">
        <f t="shared" si="7"/>
        <v/>
      </c>
      <c r="AC21" s="11">
        <v>0</v>
      </c>
      <c r="AD21" s="11">
        <v>0</v>
      </c>
      <c r="AE21" s="11" t="str">
        <f t="shared" si="8"/>
        <v/>
      </c>
      <c r="AF21" s="11">
        <v>0</v>
      </c>
      <c r="AG21" s="11">
        <v>0</v>
      </c>
      <c r="AH21" s="11" t="str">
        <f t="shared" si="9"/>
        <v/>
      </c>
      <c r="AI21" s="32" t="s">
        <v>1346</v>
      </c>
      <c r="AJ21" s="33">
        <f t="shared" si="10"/>
        <v>3</v>
      </c>
      <c r="AK21" s="34">
        <f t="shared" si="11"/>
        <v>5</v>
      </c>
      <c r="AL21" s="32">
        <f t="shared" si="12"/>
        <v>5</v>
      </c>
      <c r="AM21" s="32">
        <f t="shared" si="13"/>
        <v>3</v>
      </c>
      <c r="AN21" s="32">
        <f t="shared" si="14"/>
        <v>3</v>
      </c>
      <c r="AO21" s="32">
        <f t="shared" si="15"/>
        <v>3</v>
      </c>
      <c r="AP21" s="32">
        <f t="shared" si="16"/>
        <v>3</v>
      </c>
      <c r="AQ21" s="15">
        <f t="shared" si="17"/>
        <v>9</v>
      </c>
    </row>
    <row r="22" spans="1:43" ht="51" x14ac:dyDescent="0.2">
      <c r="A22" s="7">
        <v>21</v>
      </c>
      <c r="B22" s="8" t="s">
        <v>88</v>
      </c>
      <c r="C22" s="8" t="s">
        <v>89</v>
      </c>
      <c r="D22" s="8" t="s">
        <v>34</v>
      </c>
      <c r="E22" s="16" t="s">
        <v>39</v>
      </c>
      <c r="F22" s="8" t="s">
        <v>36</v>
      </c>
      <c r="G22" s="7">
        <v>0</v>
      </c>
      <c r="H22" s="9">
        <v>42094</v>
      </c>
      <c r="I22" s="10">
        <f t="shared" si="0"/>
        <v>11</v>
      </c>
      <c r="J22" s="10" t="s">
        <v>40</v>
      </c>
      <c r="K22" s="10" t="s">
        <v>40</v>
      </c>
      <c r="L22" s="10" t="s">
        <v>40</v>
      </c>
      <c r="M22" s="10">
        <f t="shared" si="1"/>
        <v>0</v>
      </c>
      <c r="N22" s="10" t="s">
        <v>40</v>
      </c>
      <c r="O22" s="10" t="s">
        <v>40</v>
      </c>
      <c r="P22" s="10" t="s">
        <v>40</v>
      </c>
      <c r="Q22" s="10">
        <f t="shared" si="2"/>
        <v>0</v>
      </c>
      <c r="R22" s="11" t="str">
        <f t="shared" si="3"/>
        <v/>
      </c>
      <c r="S22" s="11" t="str">
        <f t="shared" si="4"/>
        <v/>
      </c>
      <c r="T22" s="7"/>
      <c r="U22" s="7"/>
      <c r="V22" s="7"/>
      <c r="W22" s="13">
        <f t="shared" si="5"/>
        <v>0</v>
      </c>
      <c r="X22" s="7" t="s">
        <v>41</v>
      </c>
      <c r="Y22" s="7" t="s">
        <v>59</v>
      </c>
      <c r="Z22" s="7" t="s">
        <v>59</v>
      </c>
      <c r="AA22" s="13">
        <f t="shared" si="6"/>
        <v>0</v>
      </c>
      <c r="AB22" s="11" t="str">
        <f t="shared" si="7"/>
        <v/>
      </c>
      <c r="AC22" s="11">
        <v>0</v>
      </c>
      <c r="AD22" s="11">
        <v>0</v>
      </c>
      <c r="AE22" s="11" t="str">
        <f t="shared" si="8"/>
        <v/>
      </c>
      <c r="AF22" s="11">
        <v>0</v>
      </c>
      <c r="AG22" s="11">
        <v>0</v>
      </c>
      <c r="AH22" s="11" t="str">
        <f t="shared" si="9"/>
        <v/>
      </c>
      <c r="AI22" s="32" t="s">
        <v>1347</v>
      </c>
      <c r="AJ22" s="33">
        <f t="shared" si="10"/>
        <v>3</v>
      </c>
      <c r="AK22" s="34">
        <f t="shared" si="11"/>
        <v>3</v>
      </c>
      <c r="AL22" s="32">
        <f t="shared" si="12"/>
        <v>3</v>
      </c>
      <c r="AM22" s="32">
        <f t="shared" si="13"/>
        <v>9</v>
      </c>
      <c r="AN22" s="32">
        <f t="shared" si="14"/>
        <v>3</v>
      </c>
      <c r="AO22" s="32">
        <f t="shared" si="15"/>
        <v>3</v>
      </c>
      <c r="AP22" s="32">
        <f t="shared" si="16"/>
        <v>3</v>
      </c>
      <c r="AQ22" s="15">
        <f t="shared" si="17"/>
        <v>0</v>
      </c>
    </row>
    <row r="23" spans="1:43" ht="68" x14ac:dyDescent="0.2">
      <c r="A23" s="7">
        <v>22</v>
      </c>
      <c r="B23" s="8" t="s">
        <v>90</v>
      </c>
      <c r="C23" s="8" t="s">
        <v>91</v>
      </c>
      <c r="D23" s="8" t="s">
        <v>34</v>
      </c>
      <c r="E23" s="16" t="s">
        <v>39</v>
      </c>
      <c r="F23" s="8" t="s">
        <v>36</v>
      </c>
      <c r="G23" s="7">
        <v>570982</v>
      </c>
      <c r="H23" s="9">
        <v>43555</v>
      </c>
      <c r="I23" s="10">
        <f t="shared" si="0"/>
        <v>7</v>
      </c>
      <c r="J23" s="10">
        <v>0</v>
      </c>
      <c r="K23" s="10">
        <v>2371662</v>
      </c>
      <c r="L23" s="10">
        <v>18063</v>
      </c>
      <c r="M23" s="10">
        <f t="shared" si="1"/>
        <v>796575</v>
      </c>
      <c r="N23" s="10">
        <v>70533471</v>
      </c>
      <c r="O23" s="10">
        <v>77293012</v>
      </c>
      <c r="P23" s="10">
        <v>72420047</v>
      </c>
      <c r="Q23" s="10">
        <f t="shared" si="2"/>
        <v>73415510</v>
      </c>
      <c r="R23" s="11">
        <f t="shared" si="3"/>
        <v>5.9012272174328597</v>
      </c>
      <c r="S23" s="11">
        <f t="shared" si="4"/>
        <v>7.8657878259929381</v>
      </c>
      <c r="T23" s="7"/>
      <c r="U23" s="7"/>
      <c r="V23" s="7"/>
      <c r="W23" s="13">
        <f t="shared" si="5"/>
        <v>0</v>
      </c>
      <c r="X23" s="7" t="s">
        <v>41</v>
      </c>
      <c r="Y23" s="7" t="s">
        <v>59</v>
      </c>
      <c r="Z23" s="7" t="s">
        <v>59</v>
      </c>
      <c r="AA23" s="13">
        <f t="shared" si="6"/>
        <v>0</v>
      </c>
      <c r="AB23" s="11" t="str">
        <f t="shared" si="7"/>
        <v/>
      </c>
      <c r="AC23" s="11">
        <v>0</v>
      </c>
      <c r="AD23" s="11">
        <v>0</v>
      </c>
      <c r="AE23" s="11" t="str">
        <f t="shared" si="8"/>
        <v/>
      </c>
      <c r="AF23" s="11">
        <v>0</v>
      </c>
      <c r="AG23" s="11">
        <v>0</v>
      </c>
      <c r="AH23" s="11" t="str">
        <f t="shared" si="9"/>
        <v/>
      </c>
      <c r="AI23" s="32" t="s">
        <v>1346</v>
      </c>
      <c r="AJ23" s="33">
        <f t="shared" si="10"/>
        <v>7</v>
      </c>
      <c r="AK23" s="34">
        <f t="shared" si="11"/>
        <v>9</v>
      </c>
      <c r="AL23" s="32">
        <f t="shared" si="12"/>
        <v>3</v>
      </c>
      <c r="AM23" s="32">
        <f t="shared" si="13"/>
        <v>7</v>
      </c>
      <c r="AN23" s="32">
        <f t="shared" si="14"/>
        <v>3</v>
      </c>
      <c r="AO23" s="32">
        <f t="shared" si="15"/>
        <v>3</v>
      </c>
      <c r="AP23" s="32">
        <f t="shared" si="16"/>
        <v>3</v>
      </c>
      <c r="AQ23" s="15">
        <f t="shared" si="17"/>
        <v>9</v>
      </c>
    </row>
    <row r="24" spans="1:43" ht="68" x14ac:dyDescent="0.2">
      <c r="A24" s="7">
        <v>23</v>
      </c>
      <c r="B24" s="8" t="s">
        <v>92</v>
      </c>
      <c r="C24" s="8" t="s">
        <v>93</v>
      </c>
      <c r="D24" s="8" t="s">
        <v>34</v>
      </c>
      <c r="E24" s="16" t="s">
        <v>39</v>
      </c>
      <c r="F24" s="8" t="s">
        <v>36</v>
      </c>
      <c r="G24" s="18">
        <v>860981</v>
      </c>
      <c r="H24" s="9" t="s">
        <v>44</v>
      </c>
      <c r="I24" s="10" t="str">
        <f t="shared" si="0"/>
        <v>NA</v>
      </c>
      <c r="J24" s="10">
        <v>-15888</v>
      </c>
      <c r="K24" s="10">
        <v>1234435</v>
      </c>
      <c r="L24" s="10">
        <v>500000</v>
      </c>
      <c r="M24" s="10">
        <f t="shared" si="1"/>
        <v>578145</v>
      </c>
      <c r="N24" s="10">
        <v>33458581</v>
      </c>
      <c r="O24" s="10">
        <v>35321163</v>
      </c>
      <c r="P24" s="10">
        <v>37635385</v>
      </c>
      <c r="Q24" s="10">
        <f t="shared" si="2"/>
        <v>35471709.666666664</v>
      </c>
      <c r="R24" s="11">
        <f t="shared" si="3"/>
        <v>5.7620375252502116</v>
      </c>
      <c r="S24" s="11">
        <f t="shared" si="4"/>
        <v>7.549882133359989</v>
      </c>
      <c r="T24" s="7"/>
      <c r="U24" s="7"/>
      <c r="V24" s="7"/>
      <c r="W24" s="13">
        <f t="shared" si="5"/>
        <v>0</v>
      </c>
      <c r="X24" s="7" t="s">
        <v>41</v>
      </c>
      <c r="Y24" s="7" t="s">
        <v>59</v>
      </c>
      <c r="Z24" s="7" t="s">
        <v>59</v>
      </c>
      <c r="AA24" s="13">
        <f t="shared" si="6"/>
        <v>0</v>
      </c>
      <c r="AB24" s="11" t="str">
        <f t="shared" si="7"/>
        <v/>
      </c>
      <c r="AC24" s="11">
        <v>0</v>
      </c>
      <c r="AD24" s="11">
        <v>0</v>
      </c>
      <c r="AE24" s="11" t="str">
        <f t="shared" si="8"/>
        <v/>
      </c>
      <c r="AF24" s="11">
        <v>0</v>
      </c>
      <c r="AG24" s="11">
        <v>0</v>
      </c>
      <c r="AH24" s="11" t="str">
        <f t="shared" si="9"/>
        <v/>
      </c>
      <c r="AI24" s="32" t="s">
        <v>1346</v>
      </c>
      <c r="AJ24" s="33">
        <f t="shared" si="10"/>
        <v>5</v>
      </c>
      <c r="AK24" s="34">
        <f t="shared" si="11"/>
        <v>7</v>
      </c>
      <c r="AL24" s="32">
        <f t="shared" si="12"/>
        <v>3</v>
      </c>
      <c r="AM24" s="32">
        <f t="shared" si="13"/>
        <v>9</v>
      </c>
      <c r="AN24" s="32">
        <f t="shared" si="14"/>
        <v>3</v>
      </c>
      <c r="AO24" s="32">
        <f t="shared" si="15"/>
        <v>3</v>
      </c>
      <c r="AP24" s="32">
        <f t="shared" si="16"/>
        <v>3</v>
      </c>
      <c r="AQ24" s="15">
        <f t="shared" si="17"/>
        <v>9</v>
      </c>
    </row>
    <row r="25" spans="1:43" ht="34" x14ac:dyDescent="0.2">
      <c r="A25" s="7">
        <v>24</v>
      </c>
      <c r="B25" s="19" t="s">
        <v>94</v>
      </c>
      <c r="C25" s="20" t="s">
        <v>95</v>
      </c>
      <c r="D25" s="8" t="s">
        <v>34</v>
      </c>
      <c r="E25" s="16" t="s">
        <v>39</v>
      </c>
      <c r="F25" s="8" t="s">
        <v>36</v>
      </c>
      <c r="G25" s="7">
        <v>650983</v>
      </c>
      <c r="H25" s="9">
        <v>42825</v>
      </c>
      <c r="I25" s="10">
        <f t="shared" si="0"/>
        <v>9</v>
      </c>
      <c r="J25" s="10">
        <v>0</v>
      </c>
      <c r="K25" s="10">
        <v>0</v>
      </c>
      <c r="L25" s="10">
        <v>0</v>
      </c>
      <c r="M25" s="10">
        <f t="shared" si="1"/>
        <v>0</v>
      </c>
      <c r="N25" s="10">
        <v>45586866</v>
      </c>
      <c r="O25" s="10">
        <v>49840738</v>
      </c>
      <c r="P25" s="10">
        <v>51569614</v>
      </c>
      <c r="Q25" s="10">
        <f t="shared" si="2"/>
        <v>48999072.666666664</v>
      </c>
      <c r="R25" s="11" t="str">
        <f t="shared" si="3"/>
        <v/>
      </c>
      <c r="S25" s="11">
        <f t="shared" si="4"/>
        <v>7.6901878697171293</v>
      </c>
      <c r="T25" s="7"/>
      <c r="U25" s="7"/>
      <c r="V25" s="7"/>
      <c r="W25" s="13">
        <f t="shared" si="5"/>
        <v>0</v>
      </c>
      <c r="X25" s="7" t="s">
        <v>47</v>
      </c>
      <c r="Y25" s="7" t="s">
        <v>48</v>
      </c>
      <c r="Z25" s="7">
        <v>0</v>
      </c>
      <c r="AA25" s="13">
        <f t="shared" si="6"/>
        <v>0</v>
      </c>
      <c r="AB25" s="11" t="str">
        <f t="shared" si="7"/>
        <v/>
      </c>
      <c r="AC25" s="11">
        <v>0</v>
      </c>
      <c r="AD25" s="11">
        <v>0</v>
      </c>
      <c r="AE25" s="11" t="str">
        <f t="shared" si="8"/>
        <v/>
      </c>
      <c r="AF25" s="11">
        <v>0</v>
      </c>
      <c r="AG25" s="11">
        <v>0</v>
      </c>
      <c r="AH25" s="11" t="str">
        <f t="shared" si="9"/>
        <v/>
      </c>
      <c r="AI25" s="32" t="s">
        <v>1346</v>
      </c>
      <c r="AJ25" s="33">
        <f t="shared" si="10"/>
        <v>3</v>
      </c>
      <c r="AK25" s="34">
        <f t="shared" si="11"/>
        <v>7</v>
      </c>
      <c r="AL25" s="32">
        <f t="shared" si="12"/>
        <v>3</v>
      </c>
      <c r="AM25" s="32">
        <f t="shared" si="13"/>
        <v>7</v>
      </c>
      <c r="AN25" s="32">
        <f t="shared" si="14"/>
        <v>3</v>
      </c>
      <c r="AO25" s="32">
        <f t="shared" si="15"/>
        <v>3</v>
      </c>
      <c r="AP25" s="32">
        <f t="shared" si="16"/>
        <v>3</v>
      </c>
      <c r="AQ25" s="15">
        <f t="shared" si="17"/>
        <v>9</v>
      </c>
    </row>
    <row r="26" spans="1:43" ht="34" x14ac:dyDescent="0.2">
      <c r="A26" s="7">
        <v>25</v>
      </c>
      <c r="B26" s="8" t="s">
        <v>96</v>
      </c>
      <c r="C26" s="8" t="s">
        <v>97</v>
      </c>
      <c r="D26" s="8" t="s">
        <v>34</v>
      </c>
      <c r="E26" s="16" t="s">
        <v>39</v>
      </c>
      <c r="F26" s="8" t="s">
        <v>36</v>
      </c>
      <c r="G26" s="7">
        <v>0</v>
      </c>
      <c r="H26" s="21">
        <v>45747</v>
      </c>
      <c r="I26" s="10">
        <f t="shared" si="0"/>
        <v>1</v>
      </c>
      <c r="J26" s="10" t="s">
        <v>40</v>
      </c>
      <c r="K26" s="10" t="s">
        <v>40</v>
      </c>
      <c r="L26" s="10" t="s">
        <v>40</v>
      </c>
      <c r="M26" s="10">
        <f t="shared" si="1"/>
        <v>0</v>
      </c>
      <c r="N26" s="10" t="s">
        <v>40</v>
      </c>
      <c r="O26" s="10" t="s">
        <v>40</v>
      </c>
      <c r="P26" s="10" t="s">
        <v>40</v>
      </c>
      <c r="Q26" s="10">
        <f t="shared" si="2"/>
        <v>0</v>
      </c>
      <c r="R26" s="11" t="str">
        <f t="shared" si="3"/>
        <v/>
      </c>
      <c r="S26" s="11" t="str">
        <f t="shared" si="4"/>
        <v/>
      </c>
      <c r="T26" s="7"/>
      <c r="U26" s="7"/>
      <c r="V26" s="7"/>
      <c r="W26" s="13">
        <f t="shared" si="5"/>
        <v>0</v>
      </c>
      <c r="X26" s="7" t="s">
        <v>98</v>
      </c>
      <c r="Y26" s="7" t="s">
        <v>85</v>
      </c>
      <c r="Z26" s="7">
        <v>5</v>
      </c>
      <c r="AA26" s="13">
        <f t="shared" si="6"/>
        <v>5</v>
      </c>
      <c r="AB26" s="11">
        <f t="shared" si="7"/>
        <v>0.77815125038364363</v>
      </c>
      <c r="AC26" s="11">
        <v>0</v>
      </c>
      <c r="AD26" s="11">
        <v>0</v>
      </c>
      <c r="AE26" s="11" t="str">
        <f t="shared" si="8"/>
        <v/>
      </c>
      <c r="AF26" s="11">
        <v>0</v>
      </c>
      <c r="AG26" s="11">
        <v>0</v>
      </c>
      <c r="AH26" s="11" t="str">
        <f t="shared" si="9"/>
        <v/>
      </c>
      <c r="AI26" s="32" t="s">
        <v>1347</v>
      </c>
      <c r="AJ26" s="33">
        <f t="shared" si="10"/>
        <v>3</v>
      </c>
      <c r="AK26" s="34">
        <f t="shared" si="11"/>
        <v>3</v>
      </c>
      <c r="AL26" s="32">
        <f t="shared" si="12"/>
        <v>3</v>
      </c>
      <c r="AM26" s="32">
        <f t="shared" si="13"/>
        <v>3</v>
      </c>
      <c r="AN26" s="32">
        <f t="shared" si="14"/>
        <v>9</v>
      </c>
      <c r="AO26" s="32">
        <f t="shared" si="15"/>
        <v>3</v>
      </c>
      <c r="AP26" s="32">
        <f t="shared" si="16"/>
        <v>3</v>
      </c>
      <c r="AQ26" s="15">
        <f t="shared" si="17"/>
        <v>0</v>
      </c>
    </row>
    <row r="27" spans="1:43" ht="34" x14ac:dyDescent="0.2">
      <c r="A27" s="7">
        <v>26</v>
      </c>
      <c r="B27" s="8" t="s">
        <v>99</v>
      </c>
      <c r="C27" s="8" t="s">
        <v>100</v>
      </c>
      <c r="D27" s="8" t="s">
        <v>34</v>
      </c>
      <c r="E27" s="16" t="s">
        <v>39</v>
      </c>
      <c r="F27" s="8" t="s">
        <v>36</v>
      </c>
      <c r="G27" s="7">
        <v>590981</v>
      </c>
      <c r="H27" s="9">
        <v>42825</v>
      </c>
      <c r="I27" s="10">
        <f t="shared" si="0"/>
        <v>9</v>
      </c>
      <c r="J27" s="10">
        <v>0</v>
      </c>
      <c r="K27" s="10">
        <v>5730764</v>
      </c>
      <c r="L27" s="10">
        <v>2665320</v>
      </c>
      <c r="M27" s="10">
        <f t="shared" si="1"/>
        <v>2798694.6666666665</v>
      </c>
      <c r="N27" s="10">
        <v>61118445</v>
      </c>
      <c r="O27" s="10">
        <v>75692427</v>
      </c>
      <c r="P27" s="10">
        <v>76458410</v>
      </c>
      <c r="Q27" s="10">
        <f t="shared" si="2"/>
        <v>71089760.666666672</v>
      </c>
      <c r="R27" s="11">
        <f t="shared" si="3"/>
        <v>6.446955675360325</v>
      </c>
      <c r="S27" s="11">
        <f t="shared" si="4"/>
        <v>7.8518070582284478</v>
      </c>
      <c r="T27" s="7"/>
      <c r="U27" s="7"/>
      <c r="V27" s="7"/>
      <c r="W27" s="13">
        <f t="shared" si="5"/>
        <v>0</v>
      </c>
      <c r="X27" s="7" t="s">
        <v>41</v>
      </c>
      <c r="Y27" s="7" t="s">
        <v>59</v>
      </c>
      <c r="Z27" s="7" t="s">
        <v>59</v>
      </c>
      <c r="AA27" s="13">
        <f t="shared" si="6"/>
        <v>0</v>
      </c>
      <c r="AB27" s="11" t="str">
        <f t="shared" si="7"/>
        <v/>
      </c>
      <c r="AC27" s="11">
        <v>0</v>
      </c>
      <c r="AD27" s="11">
        <v>0</v>
      </c>
      <c r="AE27" s="11" t="str">
        <f t="shared" si="8"/>
        <v/>
      </c>
      <c r="AF27" s="11">
        <v>0</v>
      </c>
      <c r="AG27" s="11">
        <v>0</v>
      </c>
      <c r="AH27" s="11" t="str">
        <f t="shared" si="9"/>
        <v/>
      </c>
      <c r="AI27" s="32" t="s">
        <v>1346</v>
      </c>
      <c r="AJ27" s="33">
        <f t="shared" si="10"/>
        <v>9</v>
      </c>
      <c r="AK27" s="34">
        <f t="shared" si="11"/>
        <v>9</v>
      </c>
      <c r="AL27" s="32">
        <f t="shared" si="12"/>
        <v>3</v>
      </c>
      <c r="AM27" s="32">
        <f t="shared" si="13"/>
        <v>7</v>
      </c>
      <c r="AN27" s="32">
        <f t="shared" si="14"/>
        <v>3</v>
      </c>
      <c r="AO27" s="32">
        <f t="shared" si="15"/>
        <v>3</v>
      </c>
      <c r="AP27" s="32">
        <f t="shared" si="16"/>
        <v>3</v>
      </c>
      <c r="AQ27" s="15">
        <f t="shared" si="17"/>
        <v>9</v>
      </c>
    </row>
    <row r="28" spans="1:43" ht="34" x14ac:dyDescent="0.2">
      <c r="A28" s="7">
        <v>27</v>
      </c>
      <c r="B28" s="8" t="s">
        <v>101</v>
      </c>
      <c r="C28" s="8" t="s">
        <v>102</v>
      </c>
      <c r="D28" s="8" t="s">
        <v>34</v>
      </c>
      <c r="E28" s="16" t="s">
        <v>39</v>
      </c>
      <c r="F28" s="8" t="s">
        <v>36</v>
      </c>
      <c r="G28" s="7">
        <v>580981</v>
      </c>
      <c r="H28" s="9">
        <v>45382</v>
      </c>
      <c r="I28" s="10">
        <f t="shared" si="0"/>
        <v>2</v>
      </c>
      <c r="J28" s="10">
        <v>1256339</v>
      </c>
      <c r="K28" s="10">
        <v>492034</v>
      </c>
      <c r="L28" s="10">
        <v>659015</v>
      </c>
      <c r="M28" s="10">
        <f t="shared" si="1"/>
        <v>802462.66666666663</v>
      </c>
      <c r="N28" s="10">
        <v>37796716</v>
      </c>
      <c r="O28" s="10">
        <v>41933182</v>
      </c>
      <c r="P28" s="10">
        <v>40984315</v>
      </c>
      <c r="Q28" s="10">
        <f t="shared" si="2"/>
        <v>40238071</v>
      </c>
      <c r="R28" s="11">
        <f t="shared" si="3"/>
        <v>5.9044253778701892</v>
      </c>
      <c r="S28" s="11">
        <f t="shared" si="4"/>
        <v>7.6046371634042131</v>
      </c>
      <c r="T28" s="7"/>
      <c r="U28" s="7"/>
      <c r="V28" s="7">
        <v>1</v>
      </c>
      <c r="W28" s="13">
        <f t="shared" si="5"/>
        <v>1</v>
      </c>
      <c r="X28" s="7" t="s">
        <v>41</v>
      </c>
      <c r="Y28" s="7" t="s">
        <v>59</v>
      </c>
      <c r="Z28" s="7" t="s">
        <v>59</v>
      </c>
      <c r="AA28" s="13">
        <f t="shared" si="6"/>
        <v>0</v>
      </c>
      <c r="AB28" s="11" t="str">
        <f t="shared" si="7"/>
        <v/>
      </c>
      <c r="AC28" s="11">
        <v>0</v>
      </c>
      <c r="AD28" s="11">
        <v>0</v>
      </c>
      <c r="AE28" s="11" t="str">
        <f t="shared" si="8"/>
        <v/>
      </c>
      <c r="AF28" s="11">
        <v>0</v>
      </c>
      <c r="AG28" s="11">
        <v>0</v>
      </c>
      <c r="AH28" s="11" t="str">
        <f t="shared" si="9"/>
        <v/>
      </c>
      <c r="AI28" s="32" t="s">
        <v>1346</v>
      </c>
      <c r="AJ28" s="33">
        <f t="shared" si="10"/>
        <v>7</v>
      </c>
      <c r="AK28" s="34">
        <f t="shared" si="11"/>
        <v>7</v>
      </c>
      <c r="AL28" s="32">
        <f t="shared" si="12"/>
        <v>5</v>
      </c>
      <c r="AM28" s="32">
        <f t="shared" si="13"/>
        <v>3</v>
      </c>
      <c r="AN28" s="32">
        <f t="shared" si="14"/>
        <v>3</v>
      </c>
      <c r="AO28" s="32">
        <f t="shared" si="15"/>
        <v>3</v>
      </c>
      <c r="AP28" s="32">
        <f t="shared" si="16"/>
        <v>3</v>
      </c>
      <c r="AQ28" s="15">
        <f t="shared" si="17"/>
        <v>9</v>
      </c>
    </row>
    <row r="29" spans="1:43" ht="34" x14ac:dyDescent="0.2">
      <c r="A29" s="7">
        <v>28</v>
      </c>
      <c r="B29" s="8" t="s">
        <v>103</v>
      </c>
      <c r="C29" s="8" t="s">
        <v>104</v>
      </c>
      <c r="D29" s="8" t="s">
        <v>34</v>
      </c>
      <c r="E29" s="16" t="s">
        <v>39</v>
      </c>
      <c r="F29" s="8" t="s">
        <v>36</v>
      </c>
      <c r="G29" s="7">
        <v>550981</v>
      </c>
      <c r="H29" s="9">
        <v>45382</v>
      </c>
      <c r="I29" s="10">
        <f t="shared" si="0"/>
        <v>2</v>
      </c>
      <c r="J29" s="10">
        <v>166480</v>
      </c>
      <c r="K29" s="10">
        <v>980965</v>
      </c>
      <c r="L29" s="10">
        <v>2173885</v>
      </c>
      <c r="M29" s="10">
        <f t="shared" si="1"/>
        <v>1107110</v>
      </c>
      <c r="N29" s="10">
        <v>40441998</v>
      </c>
      <c r="O29" s="10">
        <v>45774527</v>
      </c>
      <c r="P29" s="10">
        <v>50362375</v>
      </c>
      <c r="Q29" s="10">
        <f t="shared" si="2"/>
        <v>45526300</v>
      </c>
      <c r="R29" s="11">
        <f t="shared" si="3"/>
        <v>6.0441911658387824</v>
      </c>
      <c r="S29" s="11">
        <f t="shared" si="4"/>
        <v>7.6582623654290147</v>
      </c>
      <c r="T29" s="7"/>
      <c r="U29" s="7"/>
      <c r="V29" s="7">
        <v>0</v>
      </c>
      <c r="W29" s="13">
        <f t="shared" si="5"/>
        <v>0</v>
      </c>
      <c r="X29" s="7" t="s">
        <v>41</v>
      </c>
      <c r="Y29" s="7" t="s">
        <v>59</v>
      </c>
      <c r="Z29" s="7" t="s">
        <v>59</v>
      </c>
      <c r="AA29" s="13">
        <f t="shared" si="6"/>
        <v>0</v>
      </c>
      <c r="AB29" s="11" t="str">
        <f t="shared" si="7"/>
        <v/>
      </c>
      <c r="AC29" s="11">
        <v>0</v>
      </c>
      <c r="AD29" s="11">
        <v>0</v>
      </c>
      <c r="AE29" s="11" t="str">
        <f t="shared" si="8"/>
        <v/>
      </c>
      <c r="AF29" s="11">
        <v>0</v>
      </c>
      <c r="AG29" s="11">
        <v>0</v>
      </c>
      <c r="AH29" s="11" t="str">
        <f t="shared" si="9"/>
        <v/>
      </c>
      <c r="AI29" s="32" t="s">
        <v>1346</v>
      </c>
      <c r="AJ29" s="33">
        <f t="shared" si="10"/>
        <v>7</v>
      </c>
      <c r="AK29" s="34">
        <f t="shared" si="11"/>
        <v>7</v>
      </c>
      <c r="AL29" s="32">
        <f t="shared" si="12"/>
        <v>3</v>
      </c>
      <c r="AM29" s="32">
        <f t="shared" si="13"/>
        <v>3</v>
      </c>
      <c r="AN29" s="32">
        <f t="shared" si="14"/>
        <v>3</v>
      </c>
      <c r="AO29" s="32">
        <f t="shared" si="15"/>
        <v>3</v>
      </c>
      <c r="AP29" s="32">
        <f t="shared" si="16"/>
        <v>3</v>
      </c>
      <c r="AQ29" s="15">
        <f t="shared" si="17"/>
        <v>9</v>
      </c>
    </row>
    <row r="30" spans="1:43" ht="51" x14ac:dyDescent="0.2">
      <c r="A30" s="7">
        <v>29</v>
      </c>
      <c r="B30" s="8" t="s">
        <v>105</v>
      </c>
      <c r="C30" s="8" t="s">
        <v>106</v>
      </c>
      <c r="D30" s="8" t="s">
        <v>34</v>
      </c>
      <c r="E30" s="16" t="s">
        <v>39</v>
      </c>
      <c r="F30" s="8" t="s">
        <v>36</v>
      </c>
      <c r="G30" s="7">
        <v>670981</v>
      </c>
      <c r="H30" s="9">
        <v>43190</v>
      </c>
      <c r="I30" s="10">
        <f t="shared" si="0"/>
        <v>8</v>
      </c>
      <c r="J30" s="10">
        <v>1110220</v>
      </c>
      <c r="K30" s="10">
        <v>1596282</v>
      </c>
      <c r="L30" s="10">
        <v>1315848</v>
      </c>
      <c r="M30" s="10">
        <f t="shared" si="1"/>
        <v>1340783.3333333333</v>
      </c>
      <c r="N30" s="10">
        <v>40384376</v>
      </c>
      <c r="O30" s="10">
        <v>42966096</v>
      </c>
      <c r="P30" s="10">
        <v>46694505</v>
      </c>
      <c r="Q30" s="10">
        <f t="shared" si="2"/>
        <v>43348325.666666664</v>
      </c>
      <c r="R30" s="11">
        <f t="shared" si="3"/>
        <v>6.1273589267138311</v>
      </c>
      <c r="S30" s="11">
        <f t="shared" si="4"/>
        <v>7.6369723374879088</v>
      </c>
      <c r="T30" s="7"/>
      <c r="U30" s="7"/>
      <c r="V30" s="7"/>
      <c r="W30" s="13">
        <f t="shared" si="5"/>
        <v>0</v>
      </c>
      <c r="X30" s="7" t="s">
        <v>47</v>
      </c>
      <c r="Y30" s="7" t="s">
        <v>48</v>
      </c>
      <c r="Z30" s="7">
        <v>0</v>
      </c>
      <c r="AA30" s="13">
        <f t="shared" si="6"/>
        <v>0</v>
      </c>
      <c r="AB30" s="11" t="str">
        <f t="shared" si="7"/>
        <v/>
      </c>
      <c r="AC30" s="11">
        <v>0</v>
      </c>
      <c r="AD30" s="11">
        <v>0</v>
      </c>
      <c r="AE30" s="11" t="str">
        <f t="shared" si="8"/>
        <v/>
      </c>
      <c r="AF30" s="11">
        <v>0</v>
      </c>
      <c r="AG30" s="11">
        <v>0</v>
      </c>
      <c r="AH30" s="11" t="str">
        <f t="shared" si="9"/>
        <v/>
      </c>
      <c r="AI30" s="32" t="s">
        <v>1346</v>
      </c>
      <c r="AJ30" s="33">
        <f t="shared" si="10"/>
        <v>7</v>
      </c>
      <c r="AK30" s="34">
        <f t="shared" si="11"/>
        <v>7</v>
      </c>
      <c r="AL30" s="32">
        <f t="shared" si="12"/>
        <v>3</v>
      </c>
      <c r="AM30" s="32">
        <f t="shared" si="13"/>
        <v>7</v>
      </c>
      <c r="AN30" s="32">
        <f t="shared" si="14"/>
        <v>3</v>
      </c>
      <c r="AO30" s="32">
        <f t="shared" si="15"/>
        <v>3</v>
      </c>
      <c r="AP30" s="32">
        <f t="shared" si="16"/>
        <v>3</v>
      </c>
      <c r="AQ30" s="15">
        <f t="shared" si="17"/>
        <v>9</v>
      </c>
    </row>
    <row r="31" spans="1:43" ht="51" x14ac:dyDescent="0.2">
      <c r="A31" s="7">
        <v>30</v>
      </c>
      <c r="B31" s="8" t="s">
        <v>107</v>
      </c>
      <c r="C31" s="8" t="s">
        <v>108</v>
      </c>
      <c r="D31" s="8" t="s">
        <v>34</v>
      </c>
      <c r="E31" s="16" t="s">
        <v>39</v>
      </c>
      <c r="F31" s="8" t="s">
        <v>36</v>
      </c>
      <c r="G31" s="18">
        <v>840981</v>
      </c>
      <c r="H31" s="9">
        <v>45382</v>
      </c>
      <c r="I31" s="10">
        <f t="shared" si="0"/>
        <v>2</v>
      </c>
      <c r="J31" s="10">
        <v>-6123</v>
      </c>
      <c r="K31" s="10">
        <v>1758279</v>
      </c>
      <c r="L31" s="10">
        <v>2515527</v>
      </c>
      <c r="M31" s="10">
        <f t="shared" si="1"/>
        <v>1424602</v>
      </c>
      <c r="N31" s="10">
        <v>33959195</v>
      </c>
      <c r="O31" s="10">
        <v>36932432</v>
      </c>
      <c r="P31" s="10">
        <v>40947004</v>
      </c>
      <c r="Q31" s="10">
        <f t="shared" si="2"/>
        <v>37279543.666666664</v>
      </c>
      <c r="R31" s="11">
        <f t="shared" si="3"/>
        <v>6.1536938545684787</v>
      </c>
      <c r="S31" s="11">
        <f t="shared" si="4"/>
        <v>7.5714705992301798</v>
      </c>
      <c r="T31" s="7"/>
      <c r="U31" s="7"/>
      <c r="V31" s="7">
        <v>0</v>
      </c>
      <c r="W31" s="13">
        <f t="shared" si="5"/>
        <v>0</v>
      </c>
      <c r="X31" s="7" t="s">
        <v>41</v>
      </c>
      <c r="Y31" s="7" t="s">
        <v>59</v>
      </c>
      <c r="Z31" s="7" t="s">
        <v>59</v>
      </c>
      <c r="AA31" s="13">
        <f t="shared" si="6"/>
        <v>0</v>
      </c>
      <c r="AB31" s="11" t="str">
        <f t="shared" si="7"/>
        <v/>
      </c>
      <c r="AC31" s="11">
        <v>0</v>
      </c>
      <c r="AD31" s="11">
        <v>0</v>
      </c>
      <c r="AE31" s="11" t="str">
        <f t="shared" si="8"/>
        <v/>
      </c>
      <c r="AF31" s="11">
        <v>0</v>
      </c>
      <c r="AG31" s="11">
        <v>0</v>
      </c>
      <c r="AH31" s="11" t="str">
        <f t="shared" si="9"/>
        <v/>
      </c>
      <c r="AI31" s="32" t="s">
        <v>1346</v>
      </c>
      <c r="AJ31" s="33">
        <f t="shared" si="10"/>
        <v>9</v>
      </c>
      <c r="AK31" s="34">
        <f t="shared" si="11"/>
        <v>7</v>
      </c>
      <c r="AL31" s="32">
        <f t="shared" si="12"/>
        <v>3</v>
      </c>
      <c r="AM31" s="32">
        <f t="shared" si="13"/>
        <v>3</v>
      </c>
      <c r="AN31" s="32">
        <f t="shared" si="14"/>
        <v>3</v>
      </c>
      <c r="AO31" s="32">
        <f t="shared" si="15"/>
        <v>3</v>
      </c>
      <c r="AP31" s="32">
        <f t="shared" si="16"/>
        <v>3</v>
      </c>
      <c r="AQ31" s="15">
        <f t="shared" si="17"/>
        <v>9</v>
      </c>
    </row>
    <row r="32" spans="1:43" ht="34" x14ac:dyDescent="0.2">
      <c r="A32" s="7">
        <v>31</v>
      </c>
      <c r="B32" s="8" t="s">
        <v>109</v>
      </c>
      <c r="C32" s="8" t="s">
        <v>110</v>
      </c>
      <c r="D32" s="8" t="s">
        <v>34</v>
      </c>
      <c r="E32" s="16" t="s">
        <v>39</v>
      </c>
      <c r="F32" s="8" t="s">
        <v>36</v>
      </c>
      <c r="G32" s="7">
        <v>0</v>
      </c>
      <c r="H32" s="9">
        <v>40999</v>
      </c>
      <c r="I32" s="10">
        <f t="shared" si="0"/>
        <v>14</v>
      </c>
      <c r="J32" s="10" t="s">
        <v>40</v>
      </c>
      <c r="K32" s="10" t="s">
        <v>40</v>
      </c>
      <c r="L32" s="10" t="s">
        <v>40</v>
      </c>
      <c r="M32" s="10">
        <f t="shared" si="1"/>
        <v>0</v>
      </c>
      <c r="N32" s="10" t="s">
        <v>40</v>
      </c>
      <c r="O32" s="10" t="s">
        <v>40</v>
      </c>
      <c r="P32" s="10" t="s">
        <v>40</v>
      </c>
      <c r="Q32" s="10">
        <f t="shared" si="2"/>
        <v>0</v>
      </c>
      <c r="R32" s="11" t="str">
        <f t="shared" si="3"/>
        <v/>
      </c>
      <c r="S32" s="11" t="str">
        <f t="shared" si="4"/>
        <v/>
      </c>
      <c r="T32" s="7"/>
      <c r="U32" s="7"/>
      <c r="V32" s="7"/>
      <c r="W32" s="13">
        <f t="shared" si="5"/>
        <v>0</v>
      </c>
      <c r="X32" s="7" t="s">
        <v>41</v>
      </c>
      <c r="Y32" s="7" t="s">
        <v>59</v>
      </c>
      <c r="Z32" s="7" t="s">
        <v>59</v>
      </c>
      <c r="AA32" s="13">
        <f t="shared" si="6"/>
        <v>0</v>
      </c>
      <c r="AB32" s="11" t="str">
        <f t="shared" si="7"/>
        <v/>
      </c>
      <c r="AC32" s="11">
        <v>0</v>
      </c>
      <c r="AD32" s="11">
        <v>0</v>
      </c>
      <c r="AE32" s="11" t="str">
        <f t="shared" si="8"/>
        <v/>
      </c>
      <c r="AF32" s="11">
        <v>0</v>
      </c>
      <c r="AG32" s="11">
        <v>0</v>
      </c>
      <c r="AH32" s="11" t="str">
        <f t="shared" si="9"/>
        <v/>
      </c>
      <c r="AI32" s="32" t="s">
        <v>1347</v>
      </c>
      <c r="AJ32" s="33">
        <f t="shared" si="10"/>
        <v>3</v>
      </c>
      <c r="AK32" s="34">
        <f t="shared" si="11"/>
        <v>3</v>
      </c>
      <c r="AL32" s="32">
        <f t="shared" si="12"/>
        <v>3</v>
      </c>
      <c r="AM32" s="32">
        <f t="shared" si="13"/>
        <v>9</v>
      </c>
      <c r="AN32" s="32">
        <f t="shared" si="14"/>
        <v>3</v>
      </c>
      <c r="AO32" s="32">
        <f t="shared" si="15"/>
        <v>3</v>
      </c>
      <c r="AP32" s="32">
        <f t="shared" si="16"/>
        <v>3</v>
      </c>
      <c r="AQ32" s="15">
        <f t="shared" si="17"/>
        <v>0</v>
      </c>
    </row>
    <row r="33" spans="1:43" ht="34" x14ac:dyDescent="0.2">
      <c r="A33" s="7">
        <v>32</v>
      </c>
      <c r="B33" s="8" t="s">
        <v>111</v>
      </c>
      <c r="C33" s="8" t="s">
        <v>112</v>
      </c>
      <c r="D33" s="8" t="s">
        <v>34</v>
      </c>
      <c r="E33" s="16" t="s">
        <v>39</v>
      </c>
      <c r="F33" s="8" t="s">
        <v>36</v>
      </c>
      <c r="G33" s="7">
        <v>730982</v>
      </c>
      <c r="H33" s="9">
        <v>42094</v>
      </c>
      <c r="I33" s="10">
        <f t="shared" si="0"/>
        <v>11</v>
      </c>
      <c r="J33" s="10">
        <v>-100455</v>
      </c>
      <c r="K33" s="10">
        <v>-56422</v>
      </c>
      <c r="L33" s="10">
        <v>1371884</v>
      </c>
      <c r="M33" s="10">
        <f t="shared" si="1"/>
        <v>457294.66666666669</v>
      </c>
      <c r="N33" s="10">
        <v>43224811</v>
      </c>
      <c r="O33" s="10">
        <v>48815290</v>
      </c>
      <c r="P33" s="10">
        <v>52588130</v>
      </c>
      <c r="Q33" s="10">
        <f t="shared" si="2"/>
        <v>48209410.333333336</v>
      </c>
      <c r="R33" s="11">
        <f t="shared" si="3"/>
        <v>5.660197086026054</v>
      </c>
      <c r="S33" s="11">
        <f t="shared" si="4"/>
        <v>7.6831318285117174</v>
      </c>
      <c r="T33" s="7"/>
      <c r="U33" s="7"/>
      <c r="V33" s="7"/>
      <c r="W33" s="13">
        <f t="shared" si="5"/>
        <v>0</v>
      </c>
      <c r="X33" s="7" t="s">
        <v>41</v>
      </c>
      <c r="Y33" s="7" t="s">
        <v>59</v>
      </c>
      <c r="Z33" s="7" t="s">
        <v>59</v>
      </c>
      <c r="AA33" s="13">
        <f t="shared" si="6"/>
        <v>0</v>
      </c>
      <c r="AB33" s="11" t="str">
        <f t="shared" si="7"/>
        <v/>
      </c>
      <c r="AC33" s="11">
        <v>0</v>
      </c>
      <c r="AD33" s="11">
        <v>0</v>
      </c>
      <c r="AE33" s="11" t="str">
        <f t="shared" si="8"/>
        <v/>
      </c>
      <c r="AF33" s="11">
        <v>0</v>
      </c>
      <c r="AG33" s="11">
        <v>0</v>
      </c>
      <c r="AH33" s="11" t="str">
        <f t="shared" si="9"/>
        <v/>
      </c>
      <c r="AI33" s="32" t="s">
        <v>1347</v>
      </c>
      <c r="AJ33" s="33">
        <f t="shared" si="10"/>
        <v>5</v>
      </c>
      <c r="AK33" s="34">
        <f t="shared" si="11"/>
        <v>7</v>
      </c>
      <c r="AL33" s="32">
        <f t="shared" si="12"/>
        <v>3</v>
      </c>
      <c r="AM33" s="32">
        <f t="shared" si="13"/>
        <v>9</v>
      </c>
      <c r="AN33" s="32">
        <f t="shared" si="14"/>
        <v>3</v>
      </c>
      <c r="AO33" s="32">
        <f t="shared" si="15"/>
        <v>3</v>
      </c>
      <c r="AP33" s="32">
        <f t="shared" si="16"/>
        <v>3</v>
      </c>
      <c r="AQ33" s="15">
        <f t="shared" si="17"/>
        <v>0</v>
      </c>
    </row>
    <row r="34" spans="1:43" ht="51" x14ac:dyDescent="0.2">
      <c r="A34" s="7">
        <v>33</v>
      </c>
      <c r="B34" s="8" t="s">
        <v>113</v>
      </c>
      <c r="C34" s="8" t="s">
        <v>114</v>
      </c>
      <c r="D34" s="8" t="s">
        <v>34</v>
      </c>
      <c r="E34" s="16" t="s">
        <v>39</v>
      </c>
      <c r="F34" s="8" t="s">
        <v>36</v>
      </c>
      <c r="G34" s="7">
        <v>610984</v>
      </c>
      <c r="H34" s="9">
        <v>43555</v>
      </c>
      <c r="I34" s="10">
        <f t="shared" si="0"/>
        <v>7</v>
      </c>
      <c r="J34" s="10">
        <v>0</v>
      </c>
      <c r="K34" s="10">
        <v>-7800</v>
      </c>
      <c r="L34" s="10">
        <v>0</v>
      </c>
      <c r="M34" s="10">
        <f t="shared" si="1"/>
        <v>0</v>
      </c>
      <c r="N34" s="10">
        <v>17684583</v>
      </c>
      <c r="O34" s="10">
        <v>19885277</v>
      </c>
      <c r="P34" s="10">
        <v>17821993</v>
      </c>
      <c r="Q34" s="10">
        <f t="shared" si="2"/>
        <v>18463951</v>
      </c>
      <c r="R34" s="11" t="str">
        <f t="shared" si="3"/>
        <v/>
      </c>
      <c r="S34" s="11">
        <f t="shared" si="4"/>
        <v>7.2663246624590521</v>
      </c>
      <c r="T34" s="7"/>
      <c r="U34" s="7"/>
      <c r="V34" s="7"/>
      <c r="W34" s="13">
        <f t="shared" si="5"/>
        <v>0</v>
      </c>
      <c r="X34" s="7" t="s">
        <v>41</v>
      </c>
      <c r="Y34" s="7" t="s">
        <v>59</v>
      </c>
      <c r="Z34" s="7" t="s">
        <v>59</v>
      </c>
      <c r="AA34" s="13">
        <f t="shared" si="6"/>
        <v>0</v>
      </c>
      <c r="AB34" s="11" t="str">
        <f t="shared" si="7"/>
        <v/>
      </c>
      <c r="AC34" s="11">
        <v>0</v>
      </c>
      <c r="AD34" s="11">
        <v>0</v>
      </c>
      <c r="AE34" s="11" t="str">
        <f t="shared" si="8"/>
        <v/>
      </c>
      <c r="AF34" s="11">
        <v>0</v>
      </c>
      <c r="AG34" s="11">
        <v>0</v>
      </c>
      <c r="AH34" s="11" t="str">
        <f t="shared" si="9"/>
        <v/>
      </c>
      <c r="AI34" s="32" t="s">
        <v>1346</v>
      </c>
      <c r="AJ34" s="33">
        <f t="shared" si="10"/>
        <v>3</v>
      </c>
      <c r="AK34" s="34">
        <f t="shared" si="11"/>
        <v>3</v>
      </c>
      <c r="AL34" s="32">
        <f t="shared" si="12"/>
        <v>3</v>
      </c>
      <c r="AM34" s="32">
        <f t="shared" si="13"/>
        <v>7</v>
      </c>
      <c r="AN34" s="32">
        <f t="shared" si="14"/>
        <v>3</v>
      </c>
      <c r="AO34" s="32">
        <f t="shared" si="15"/>
        <v>3</v>
      </c>
      <c r="AP34" s="32">
        <f t="shared" si="16"/>
        <v>3</v>
      </c>
      <c r="AQ34" s="15">
        <f t="shared" si="17"/>
        <v>9</v>
      </c>
    </row>
    <row r="35" spans="1:43" ht="34" x14ac:dyDescent="0.2">
      <c r="A35" s="7">
        <v>34</v>
      </c>
      <c r="B35" s="8" t="s">
        <v>115</v>
      </c>
      <c r="C35" s="8" t="s">
        <v>116</v>
      </c>
      <c r="D35" s="8" t="s">
        <v>34</v>
      </c>
      <c r="E35" s="16" t="s">
        <v>39</v>
      </c>
      <c r="F35" s="8" t="s">
        <v>36</v>
      </c>
      <c r="G35" s="7">
        <v>610981</v>
      </c>
      <c r="H35" s="9">
        <v>45016</v>
      </c>
      <c r="I35" s="10">
        <f t="shared" si="0"/>
        <v>3</v>
      </c>
      <c r="J35" s="10">
        <v>-98796</v>
      </c>
      <c r="K35" s="10">
        <v>-30633</v>
      </c>
      <c r="L35" s="10">
        <v>-742</v>
      </c>
      <c r="M35" s="10">
        <f t="shared" si="1"/>
        <v>0</v>
      </c>
      <c r="N35" s="10">
        <v>45788632</v>
      </c>
      <c r="O35" s="10">
        <v>56421219</v>
      </c>
      <c r="P35" s="10">
        <v>59463276</v>
      </c>
      <c r="Q35" s="10">
        <f t="shared" si="2"/>
        <v>53891042.333333336</v>
      </c>
      <c r="R35" s="11" t="str">
        <f t="shared" si="3"/>
        <v/>
      </c>
      <c r="S35" s="11">
        <f t="shared" si="4"/>
        <v>7.731516591640621</v>
      </c>
      <c r="T35" s="7"/>
      <c r="U35" s="7">
        <v>0</v>
      </c>
      <c r="V35" s="7"/>
      <c r="W35" s="13">
        <f t="shared" si="5"/>
        <v>0</v>
      </c>
      <c r="X35" s="7" t="s">
        <v>47</v>
      </c>
      <c r="Y35" s="7" t="s">
        <v>48</v>
      </c>
      <c r="Z35" s="7">
        <v>0</v>
      </c>
      <c r="AA35" s="13">
        <f t="shared" si="6"/>
        <v>0</v>
      </c>
      <c r="AB35" s="11" t="str">
        <f t="shared" si="7"/>
        <v/>
      </c>
      <c r="AC35" s="11">
        <v>0</v>
      </c>
      <c r="AD35" s="11">
        <v>0</v>
      </c>
      <c r="AE35" s="11" t="str">
        <f t="shared" si="8"/>
        <v/>
      </c>
      <c r="AF35" s="11">
        <v>0</v>
      </c>
      <c r="AG35" s="11">
        <v>0</v>
      </c>
      <c r="AH35" s="11" t="str">
        <f t="shared" si="9"/>
        <v/>
      </c>
      <c r="AI35" s="32" t="s">
        <v>1346</v>
      </c>
      <c r="AJ35" s="33">
        <f t="shared" si="10"/>
        <v>3</v>
      </c>
      <c r="AK35" s="34">
        <f t="shared" si="11"/>
        <v>9</v>
      </c>
      <c r="AL35" s="32">
        <f t="shared" si="12"/>
        <v>3</v>
      </c>
      <c r="AM35" s="32">
        <f>IF(I35&lt;4,3,IF(I35&lt;6,5,IF(I35&lt;11,7,9)))</f>
        <v>3</v>
      </c>
      <c r="AN35" s="32">
        <f t="shared" si="14"/>
        <v>3</v>
      </c>
      <c r="AO35" s="32">
        <f t="shared" si="15"/>
        <v>3</v>
      </c>
      <c r="AP35" s="32">
        <f t="shared" si="16"/>
        <v>3</v>
      </c>
      <c r="AQ35" s="15">
        <f t="shared" si="17"/>
        <v>9</v>
      </c>
    </row>
    <row r="36" spans="1:43" ht="34" x14ac:dyDescent="0.2">
      <c r="A36" s="7">
        <v>35</v>
      </c>
      <c r="B36" s="8" t="s">
        <v>117</v>
      </c>
      <c r="C36" s="8" t="s">
        <v>118</v>
      </c>
      <c r="D36" s="8" t="s">
        <v>34</v>
      </c>
      <c r="E36" s="16" t="s">
        <v>39</v>
      </c>
      <c r="F36" s="8" t="s">
        <v>36</v>
      </c>
      <c r="G36" s="7">
        <v>610982</v>
      </c>
      <c r="H36" s="9">
        <v>43555</v>
      </c>
      <c r="I36" s="10">
        <f t="shared" si="0"/>
        <v>7</v>
      </c>
      <c r="J36" s="10">
        <v>-327</v>
      </c>
      <c r="K36" s="10">
        <v>-227248</v>
      </c>
      <c r="L36" s="10">
        <v>0</v>
      </c>
      <c r="M36" s="10">
        <f t="shared" si="1"/>
        <v>0</v>
      </c>
      <c r="N36" s="10">
        <v>38558507</v>
      </c>
      <c r="O36" s="10">
        <v>51388893</v>
      </c>
      <c r="P36" s="10">
        <v>58168371</v>
      </c>
      <c r="Q36" s="10">
        <f t="shared" si="2"/>
        <v>49371923.666666664</v>
      </c>
      <c r="R36" s="11" t="str">
        <f t="shared" si="3"/>
        <v/>
      </c>
      <c r="S36" s="11">
        <f t="shared" si="4"/>
        <v>7.6934800576594791</v>
      </c>
      <c r="T36" s="7"/>
      <c r="U36" s="7"/>
      <c r="V36" s="7"/>
      <c r="W36" s="13">
        <f t="shared" si="5"/>
        <v>0</v>
      </c>
      <c r="X36" s="7" t="s">
        <v>55</v>
      </c>
      <c r="Y36" s="7" t="s">
        <v>56</v>
      </c>
      <c r="Z36" s="7">
        <v>0</v>
      </c>
      <c r="AA36" s="13">
        <f t="shared" si="6"/>
        <v>0</v>
      </c>
      <c r="AB36" s="11" t="str">
        <f t="shared" si="7"/>
        <v/>
      </c>
      <c r="AC36" s="11">
        <v>0</v>
      </c>
      <c r="AD36" s="11">
        <v>0</v>
      </c>
      <c r="AE36" s="11" t="str">
        <f t="shared" si="8"/>
        <v/>
      </c>
      <c r="AF36" s="11">
        <v>0</v>
      </c>
      <c r="AG36" s="11">
        <v>0</v>
      </c>
      <c r="AH36" s="11" t="str">
        <f t="shared" si="9"/>
        <v/>
      </c>
      <c r="AI36" s="32" t="s">
        <v>1346</v>
      </c>
      <c r="AJ36" s="33">
        <f t="shared" si="10"/>
        <v>3</v>
      </c>
      <c r="AK36" s="34">
        <f t="shared" si="11"/>
        <v>7</v>
      </c>
      <c r="AL36" s="32">
        <f t="shared" si="12"/>
        <v>3</v>
      </c>
      <c r="AM36" s="32">
        <f t="shared" si="13"/>
        <v>7</v>
      </c>
      <c r="AN36" s="32">
        <f t="shared" si="14"/>
        <v>3</v>
      </c>
      <c r="AO36" s="32">
        <f t="shared" si="15"/>
        <v>3</v>
      </c>
      <c r="AP36" s="32">
        <f t="shared" si="16"/>
        <v>3</v>
      </c>
      <c r="AQ36" s="15">
        <f t="shared" si="17"/>
        <v>9</v>
      </c>
    </row>
    <row r="37" spans="1:43" ht="34" x14ac:dyDescent="0.2">
      <c r="A37" s="7">
        <v>36</v>
      </c>
      <c r="B37" s="8" t="s">
        <v>119</v>
      </c>
      <c r="C37" s="8" t="s">
        <v>120</v>
      </c>
      <c r="D37" s="8" t="s">
        <v>34</v>
      </c>
      <c r="E37" s="16" t="s">
        <v>39</v>
      </c>
      <c r="F37" s="8" t="s">
        <v>36</v>
      </c>
      <c r="G37" s="7">
        <v>660983</v>
      </c>
      <c r="H37" s="9">
        <v>41364</v>
      </c>
      <c r="I37" s="10">
        <f t="shared" si="0"/>
        <v>13</v>
      </c>
      <c r="J37" s="10">
        <v>0</v>
      </c>
      <c r="K37" s="10">
        <v>0</v>
      </c>
      <c r="L37" s="10">
        <v>-1758</v>
      </c>
      <c r="M37" s="10">
        <f t="shared" si="1"/>
        <v>0</v>
      </c>
      <c r="N37" s="10">
        <v>9684091</v>
      </c>
      <c r="O37" s="10">
        <v>10377835</v>
      </c>
      <c r="P37" s="10">
        <v>11717191</v>
      </c>
      <c r="Q37" s="10">
        <f t="shared" si="2"/>
        <v>10593039</v>
      </c>
      <c r="R37" s="11" t="str">
        <f t="shared" si="3"/>
        <v/>
      </c>
      <c r="S37" s="11">
        <f t="shared" si="4"/>
        <v>7.0250206122097376</v>
      </c>
      <c r="T37" s="7"/>
      <c r="U37" s="7"/>
      <c r="V37" s="7"/>
      <c r="W37" s="13">
        <f t="shared" si="5"/>
        <v>0</v>
      </c>
      <c r="X37" s="7" t="s">
        <v>41</v>
      </c>
      <c r="Y37" s="7" t="s">
        <v>59</v>
      </c>
      <c r="Z37" s="7" t="s">
        <v>59</v>
      </c>
      <c r="AA37" s="13">
        <f t="shared" si="6"/>
        <v>0</v>
      </c>
      <c r="AB37" s="11" t="str">
        <f t="shared" si="7"/>
        <v/>
      </c>
      <c r="AC37" s="11">
        <v>0</v>
      </c>
      <c r="AD37" s="11">
        <v>0</v>
      </c>
      <c r="AE37" s="11" t="str">
        <f t="shared" si="8"/>
        <v/>
      </c>
      <c r="AF37" s="11">
        <v>0</v>
      </c>
      <c r="AG37" s="11">
        <v>0</v>
      </c>
      <c r="AH37" s="11" t="str">
        <f t="shared" si="9"/>
        <v/>
      </c>
      <c r="AI37" s="32" t="s">
        <v>1347</v>
      </c>
      <c r="AJ37" s="33">
        <f t="shared" si="10"/>
        <v>3</v>
      </c>
      <c r="AK37" s="34">
        <f t="shared" si="11"/>
        <v>3</v>
      </c>
      <c r="AL37" s="32">
        <f t="shared" si="12"/>
        <v>3</v>
      </c>
      <c r="AM37" s="32">
        <f t="shared" si="13"/>
        <v>9</v>
      </c>
      <c r="AN37" s="32">
        <f t="shared" si="14"/>
        <v>3</v>
      </c>
      <c r="AO37" s="32">
        <f t="shared" si="15"/>
        <v>3</v>
      </c>
      <c r="AP37" s="32">
        <f t="shared" si="16"/>
        <v>3</v>
      </c>
      <c r="AQ37" s="15">
        <f t="shared" si="17"/>
        <v>0</v>
      </c>
    </row>
    <row r="38" spans="1:43" ht="34" x14ac:dyDescent="0.2">
      <c r="A38" s="7">
        <v>37</v>
      </c>
      <c r="B38" s="8" t="s">
        <v>121</v>
      </c>
      <c r="C38" s="8" t="s">
        <v>122</v>
      </c>
      <c r="D38" s="8" t="s">
        <v>34</v>
      </c>
      <c r="E38" s="16" t="s">
        <v>39</v>
      </c>
      <c r="F38" s="8" t="s">
        <v>36</v>
      </c>
      <c r="G38" s="7">
        <v>660982</v>
      </c>
      <c r="H38" s="9">
        <v>45382</v>
      </c>
      <c r="I38" s="10">
        <f t="shared" si="0"/>
        <v>2</v>
      </c>
      <c r="J38" s="10">
        <v>800000</v>
      </c>
      <c r="K38" s="10">
        <v>0</v>
      </c>
      <c r="L38" s="10">
        <v>0</v>
      </c>
      <c r="M38" s="10">
        <f t="shared" si="1"/>
        <v>266666.66666666669</v>
      </c>
      <c r="N38" s="10">
        <v>17896800</v>
      </c>
      <c r="O38" s="10">
        <v>20842060</v>
      </c>
      <c r="P38" s="10">
        <v>19461119</v>
      </c>
      <c r="Q38" s="10">
        <f t="shared" si="2"/>
        <v>19399993</v>
      </c>
      <c r="R38" s="11">
        <f t="shared" si="3"/>
        <v>5.425970360873535</v>
      </c>
      <c r="S38" s="11">
        <f t="shared" si="4"/>
        <v>7.2878015956123239</v>
      </c>
      <c r="T38" s="7"/>
      <c r="U38" s="7"/>
      <c r="V38" s="7">
        <v>1</v>
      </c>
      <c r="W38" s="13">
        <f t="shared" si="5"/>
        <v>1</v>
      </c>
      <c r="X38" s="7" t="s">
        <v>41</v>
      </c>
      <c r="Y38" s="7" t="s">
        <v>59</v>
      </c>
      <c r="Z38" s="7" t="s">
        <v>59</v>
      </c>
      <c r="AA38" s="13">
        <f t="shared" si="6"/>
        <v>0</v>
      </c>
      <c r="AB38" s="11" t="str">
        <f t="shared" si="7"/>
        <v/>
      </c>
      <c r="AC38" s="11">
        <v>0</v>
      </c>
      <c r="AD38" s="11">
        <v>0</v>
      </c>
      <c r="AE38" s="11" t="str">
        <f t="shared" si="8"/>
        <v/>
      </c>
      <c r="AF38" s="11">
        <v>0</v>
      </c>
      <c r="AG38" s="11">
        <v>0</v>
      </c>
      <c r="AH38" s="11" t="str">
        <f t="shared" si="9"/>
        <v/>
      </c>
      <c r="AI38" s="32" t="s">
        <v>1346</v>
      </c>
      <c r="AJ38" s="33">
        <f t="shared" si="10"/>
        <v>3</v>
      </c>
      <c r="AK38" s="34">
        <f t="shared" si="11"/>
        <v>5</v>
      </c>
      <c r="AL38" s="32">
        <f t="shared" si="12"/>
        <v>5</v>
      </c>
      <c r="AM38" s="32">
        <f t="shared" si="13"/>
        <v>3</v>
      </c>
      <c r="AN38" s="32">
        <f t="shared" si="14"/>
        <v>3</v>
      </c>
      <c r="AO38" s="32">
        <f t="shared" si="15"/>
        <v>3</v>
      </c>
      <c r="AP38" s="32">
        <f t="shared" si="16"/>
        <v>3</v>
      </c>
      <c r="AQ38" s="15">
        <f t="shared" si="17"/>
        <v>9</v>
      </c>
    </row>
    <row r="39" spans="1:43" ht="34" x14ac:dyDescent="0.2">
      <c r="A39" s="7">
        <v>38</v>
      </c>
      <c r="B39" s="8" t="s">
        <v>123</v>
      </c>
      <c r="C39" s="8" t="s">
        <v>124</v>
      </c>
      <c r="D39" s="8" t="s">
        <v>34</v>
      </c>
      <c r="E39" s="16" t="s">
        <v>39</v>
      </c>
      <c r="F39" s="8" t="s">
        <v>36</v>
      </c>
      <c r="G39" s="7">
        <v>780984</v>
      </c>
      <c r="H39" s="9">
        <v>45382</v>
      </c>
      <c r="I39" s="10">
        <f t="shared" si="0"/>
        <v>2</v>
      </c>
      <c r="J39" s="10">
        <v>0</v>
      </c>
      <c r="K39" s="10">
        <v>2800000</v>
      </c>
      <c r="L39" s="10">
        <v>5085425</v>
      </c>
      <c r="M39" s="10">
        <f t="shared" si="1"/>
        <v>2628475</v>
      </c>
      <c r="N39" s="10">
        <v>65437998</v>
      </c>
      <c r="O39" s="10">
        <v>71231207</v>
      </c>
      <c r="P39" s="10">
        <v>80681440</v>
      </c>
      <c r="Q39" s="10">
        <f t="shared" si="2"/>
        <v>72450215</v>
      </c>
      <c r="R39" s="11">
        <f t="shared" si="3"/>
        <v>6.4197040159311412</v>
      </c>
      <c r="S39" s="11">
        <f t="shared" si="4"/>
        <v>7.8600396845962655</v>
      </c>
      <c r="T39" s="7"/>
      <c r="U39" s="7"/>
      <c r="V39" s="7">
        <v>1</v>
      </c>
      <c r="W39" s="13">
        <f t="shared" si="5"/>
        <v>1</v>
      </c>
      <c r="X39" s="7" t="s">
        <v>55</v>
      </c>
      <c r="Y39" s="7" t="s">
        <v>56</v>
      </c>
      <c r="Z39" s="7">
        <v>0</v>
      </c>
      <c r="AA39" s="13">
        <f t="shared" si="6"/>
        <v>0</v>
      </c>
      <c r="AB39" s="11" t="str">
        <f t="shared" si="7"/>
        <v/>
      </c>
      <c r="AC39" s="11">
        <v>0</v>
      </c>
      <c r="AD39" s="11">
        <v>0</v>
      </c>
      <c r="AE39" s="11" t="str">
        <f t="shared" si="8"/>
        <v/>
      </c>
      <c r="AF39" s="11">
        <v>0</v>
      </c>
      <c r="AG39" s="11">
        <v>0</v>
      </c>
      <c r="AH39" s="11" t="str">
        <f t="shared" si="9"/>
        <v/>
      </c>
      <c r="AI39" s="32" t="s">
        <v>1346</v>
      </c>
      <c r="AJ39" s="33">
        <f t="shared" si="10"/>
        <v>9</v>
      </c>
      <c r="AK39" s="34">
        <f t="shared" si="11"/>
        <v>9</v>
      </c>
      <c r="AL39" s="32">
        <f t="shared" si="12"/>
        <v>5</v>
      </c>
      <c r="AM39" s="32">
        <f t="shared" si="13"/>
        <v>3</v>
      </c>
      <c r="AN39" s="32">
        <f t="shared" si="14"/>
        <v>3</v>
      </c>
      <c r="AO39" s="32">
        <f t="shared" si="15"/>
        <v>3</v>
      </c>
      <c r="AP39" s="32">
        <f t="shared" si="16"/>
        <v>3</v>
      </c>
      <c r="AQ39" s="15">
        <f t="shared" si="17"/>
        <v>9</v>
      </c>
    </row>
    <row r="40" spans="1:43" ht="34" x14ac:dyDescent="0.2">
      <c r="A40" s="7">
        <v>39</v>
      </c>
      <c r="B40" s="8" t="s">
        <v>125</v>
      </c>
      <c r="C40" s="8" t="s">
        <v>126</v>
      </c>
      <c r="D40" s="8" t="s">
        <v>34</v>
      </c>
      <c r="E40" s="16" t="s">
        <v>39</v>
      </c>
      <c r="F40" s="8" t="s">
        <v>36</v>
      </c>
      <c r="G40" s="15">
        <v>540983</v>
      </c>
      <c r="H40" s="9">
        <v>42460</v>
      </c>
      <c r="I40" s="10">
        <f t="shared" si="0"/>
        <v>10</v>
      </c>
      <c r="J40" s="10">
        <v>0</v>
      </c>
      <c r="K40" s="10">
        <v>0</v>
      </c>
      <c r="L40" s="10">
        <v>0</v>
      </c>
      <c r="M40" s="10">
        <f t="shared" si="1"/>
        <v>0</v>
      </c>
      <c r="N40" s="10">
        <v>7594002</v>
      </c>
      <c r="O40" s="10">
        <v>9253485</v>
      </c>
      <c r="P40" s="10">
        <v>6740162</v>
      </c>
      <c r="Q40" s="10">
        <f t="shared" si="2"/>
        <v>7862549.666666667</v>
      </c>
      <c r="R40" s="11" t="str">
        <f t="shared" si="3"/>
        <v/>
      </c>
      <c r="S40" s="11">
        <f t="shared" si="4"/>
        <v>6.895563457077535</v>
      </c>
      <c r="T40" s="7"/>
      <c r="U40" s="7"/>
      <c r="V40" s="7"/>
      <c r="W40" s="13">
        <f t="shared" si="5"/>
        <v>0</v>
      </c>
      <c r="X40" s="7" t="s">
        <v>41</v>
      </c>
      <c r="Y40" s="7" t="s">
        <v>59</v>
      </c>
      <c r="Z40" s="7" t="s">
        <v>59</v>
      </c>
      <c r="AA40" s="13">
        <f t="shared" si="6"/>
        <v>0</v>
      </c>
      <c r="AB40" s="11" t="str">
        <f t="shared" si="7"/>
        <v/>
      </c>
      <c r="AC40" s="11">
        <v>0</v>
      </c>
      <c r="AD40" s="11">
        <v>0</v>
      </c>
      <c r="AE40" s="11" t="str">
        <f t="shared" si="8"/>
        <v/>
      </c>
      <c r="AF40" s="11">
        <v>0</v>
      </c>
      <c r="AG40" s="11">
        <v>0</v>
      </c>
      <c r="AH40" s="11" t="str">
        <f t="shared" si="9"/>
        <v/>
      </c>
      <c r="AI40" s="32" t="s">
        <v>1346</v>
      </c>
      <c r="AJ40" s="33">
        <f t="shared" si="10"/>
        <v>3</v>
      </c>
      <c r="AK40" s="34">
        <f t="shared" si="11"/>
        <v>3</v>
      </c>
      <c r="AL40" s="32">
        <f t="shared" si="12"/>
        <v>3</v>
      </c>
      <c r="AM40" s="32">
        <f t="shared" si="13"/>
        <v>7</v>
      </c>
      <c r="AN40" s="32">
        <f t="shared" si="14"/>
        <v>3</v>
      </c>
      <c r="AO40" s="32">
        <f t="shared" si="15"/>
        <v>3</v>
      </c>
      <c r="AP40" s="32">
        <f t="shared" si="16"/>
        <v>3</v>
      </c>
      <c r="AQ40" s="15">
        <f t="shared" si="17"/>
        <v>9</v>
      </c>
    </row>
    <row r="41" spans="1:43" ht="34" x14ac:dyDescent="0.2">
      <c r="A41" s="7">
        <v>40</v>
      </c>
      <c r="B41" s="8" t="s">
        <v>127</v>
      </c>
      <c r="C41" s="8" t="s">
        <v>128</v>
      </c>
      <c r="D41" s="8" t="s">
        <v>34</v>
      </c>
      <c r="E41" s="16" t="s">
        <v>39</v>
      </c>
      <c r="F41" s="8" t="s">
        <v>36</v>
      </c>
      <c r="G41" s="7">
        <v>680986</v>
      </c>
      <c r="H41" s="9">
        <v>41364</v>
      </c>
      <c r="I41" s="10">
        <f t="shared" si="0"/>
        <v>13</v>
      </c>
      <c r="J41" s="10">
        <v>0</v>
      </c>
      <c r="K41" s="10">
        <v>-16</v>
      </c>
      <c r="L41" s="10">
        <v>0</v>
      </c>
      <c r="M41" s="10">
        <f t="shared" si="1"/>
        <v>0</v>
      </c>
      <c r="N41" s="10">
        <v>13998342</v>
      </c>
      <c r="O41" s="10">
        <v>15686087</v>
      </c>
      <c r="P41" s="10">
        <v>15494920</v>
      </c>
      <c r="Q41" s="10">
        <f t="shared" si="2"/>
        <v>15059783</v>
      </c>
      <c r="R41" s="11" t="str">
        <f t="shared" si="3"/>
        <v/>
      </c>
      <c r="S41" s="11">
        <f t="shared" si="4"/>
        <v>7.1778187428951714</v>
      </c>
      <c r="T41" s="7"/>
      <c r="U41" s="7"/>
      <c r="V41" s="7"/>
      <c r="W41" s="13">
        <f t="shared" si="5"/>
        <v>0</v>
      </c>
      <c r="X41" s="7" t="s">
        <v>41</v>
      </c>
      <c r="Y41" s="7" t="s">
        <v>59</v>
      </c>
      <c r="Z41" s="7" t="s">
        <v>59</v>
      </c>
      <c r="AA41" s="13">
        <f t="shared" si="6"/>
        <v>0</v>
      </c>
      <c r="AB41" s="11" t="str">
        <f t="shared" si="7"/>
        <v/>
      </c>
      <c r="AC41" s="11">
        <v>0</v>
      </c>
      <c r="AD41" s="11">
        <v>0</v>
      </c>
      <c r="AE41" s="11" t="str">
        <f t="shared" si="8"/>
        <v/>
      </c>
      <c r="AF41" s="11">
        <v>0</v>
      </c>
      <c r="AG41" s="11">
        <v>0</v>
      </c>
      <c r="AH41" s="11" t="str">
        <f t="shared" si="9"/>
        <v/>
      </c>
      <c r="AI41" s="32" t="s">
        <v>1347</v>
      </c>
      <c r="AJ41" s="33">
        <f t="shared" si="10"/>
        <v>3</v>
      </c>
      <c r="AK41" s="34">
        <f t="shared" si="11"/>
        <v>3</v>
      </c>
      <c r="AL41" s="32">
        <f t="shared" si="12"/>
        <v>3</v>
      </c>
      <c r="AM41" s="32">
        <f t="shared" si="13"/>
        <v>9</v>
      </c>
      <c r="AN41" s="32">
        <f t="shared" si="14"/>
        <v>3</v>
      </c>
      <c r="AO41" s="32">
        <f t="shared" si="15"/>
        <v>3</v>
      </c>
      <c r="AP41" s="32">
        <f t="shared" si="16"/>
        <v>3</v>
      </c>
      <c r="AQ41" s="15">
        <f t="shared" si="17"/>
        <v>0</v>
      </c>
    </row>
    <row r="42" spans="1:43" ht="34" x14ac:dyDescent="0.2">
      <c r="A42" s="7">
        <v>41</v>
      </c>
      <c r="B42" s="8" t="s">
        <v>129</v>
      </c>
      <c r="C42" s="8" t="s">
        <v>130</v>
      </c>
      <c r="D42" s="8" t="s">
        <v>34</v>
      </c>
      <c r="E42" s="16" t="s">
        <v>39</v>
      </c>
      <c r="F42" s="8" t="s">
        <v>36</v>
      </c>
      <c r="G42" s="7">
        <v>630982</v>
      </c>
      <c r="H42" s="9">
        <v>40999</v>
      </c>
      <c r="I42" s="10">
        <f t="shared" si="0"/>
        <v>14</v>
      </c>
      <c r="J42" s="10">
        <v>1600000</v>
      </c>
      <c r="K42" s="10">
        <v>0</v>
      </c>
      <c r="L42" s="10">
        <v>0</v>
      </c>
      <c r="M42" s="10">
        <f t="shared" si="1"/>
        <v>533333.33333333337</v>
      </c>
      <c r="N42" s="10">
        <v>44184467</v>
      </c>
      <c r="O42" s="10">
        <v>44853105</v>
      </c>
      <c r="P42" s="10">
        <v>49860525</v>
      </c>
      <c r="Q42" s="10">
        <f t="shared" si="2"/>
        <v>46299365.666666664</v>
      </c>
      <c r="R42" s="11">
        <f t="shared" si="3"/>
        <v>5.7269995422376523</v>
      </c>
      <c r="S42" s="11">
        <f t="shared" si="4"/>
        <v>7.6655750503040636</v>
      </c>
      <c r="T42" s="7"/>
      <c r="U42" s="7"/>
      <c r="V42" s="7"/>
      <c r="W42" s="13">
        <f t="shared" si="5"/>
        <v>0</v>
      </c>
      <c r="X42" s="7" t="s">
        <v>41</v>
      </c>
      <c r="Y42" s="7" t="s">
        <v>59</v>
      </c>
      <c r="Z42" s="7" t="s">
        <v>59</v>
      </c>
      <c r="AA42" s="13">
        <f t="shared" si="6"/>
        <v>0</v>
      </c>
      <c r="AB42" s="11" t="str">
        <f t="shared" si="7"/>
        <v/>
      </c>
      <c r="AC42" s="11">
        <v>0</v>
      </c>
      <c r="AD42" s="11">
        <v>0</v>
      </c>
      <c r="AE42" s="11" t="str">
        <f t="shared" si="8"/>
        <v/>
      </c>
      <c r="AF42" s="11">
        <v>0</v>
      </c>
      <c r="AG42" s="11">
        <v>0</v>
      </c>
      <c r="AH42" s="11" t="str">
        <f t="shared" si="9"/>
        <v/>
      </c>
      <c r="AI42" s="32" t="s">
        <v>1347</v>
      </c>
      <c r="AJ42" s="33">
        <f t="shared" si="10"/>
        <v>5</v>
      </c>
      <c r="AK42" s="34">
        <f t="shared" si="11"/>
        <v>7</v>
      </c>
      <c r="AL42" s="32">
        <f t="shared" si="12"/>
        <v>3</v>
      </c>
      <c r="AM42" s="32">
        <f t="shared" si="13"/>
        <v>9</v>
      </c>
      <c r="AN42" s="32">
        <f t="shared" si="14"/>
        <v>3</v>
      </c>
      <c r="AO42" s="32">
        <f t="shared" si="15"/>
        <v>3</v>
      </c>
      <c r="AP42" s="32">
        <f t="shared" si="16"/>
        <v>3</v>
      </c>
      <c r="AQ42" s="15">
        <f t="shared" si="17"/>
        <v>0</v>
      </c>
    </row>
    <row r="43" spans="1:43" ht="34" x14ac:dyDescent="0.2">
      <c r="A43" s="7">
        <v>42</v>
      </c>
      <c r="B43" s="8" t="s">
        <v>131</v>
      </c>
      <c r="C43" s="8" t="s">
        <v>132</v>
      </c>
      <c r="D43" s="8" t="s">
        <v>34</v>
      </c>
      <c r="E43" s="16" t="s">
        <v>39</v>
      </c>
      <c r="F43" s="8" t="s">
        <v>36</v>
      </c>
      <c r="G43" s="7">
        <v>720982</v>
      </c>
      <c r="H43" s="9">
        <v>45382</v>
      </c>
      <c r="I43" s="10">
        <f t="shared" si="0"/>
        <v>2</v>
      </c>
      <c r="J43" s="10">
        <v>731000</v>
      </c>
      <c r="K43" s="10">
        <v>1006400</v>
      </c>
      <c r="L43" s="10">
        <v>1666000</v>
      </c>
      <c r="M43" s="10">
        <f t="shared" si="1"/>
        <v>1134466.6666666667</v>
      </c>
      <c r="N43" s="10">
        <v>67908967</v>
      </c>
      <c r="O43" s="10">
        <v>78908024</v>
      </c>
      <c r="P43" s="10">
        <v>86287720</v>
      </c>
      <c r="Q43" s="10">
        <f t="shared" si="2"/>
        <v>77701570.333333328</v>
      </c>
      <c r="R43" s="11">
        <f t="shared" si="3"/>
        <v>6.0547921226199382</v>
      </c>
      <c r="S43" s="11">
        <f t="shared" si="4"/>
        <v>7.890429801484256</v>
      </c>
      <c r="T43" s="7"/>
      <c r="U43" s="7"/>
      <c r="V43" s="7">
        <v>1</v>
      </c>
      <c r="W43" s="13">
        <f t="shared" si="5"/>
        <v>1</v>
      </c>
      <c r="X43" s="7" t="s">
        <v>41</v>
      </c>
      <c r="Y43" s="7" t="s">
        <v>59</v>
      </c>
      <c r="Z43" s="7" t="s">
        <v>59</v>
      </c>
      <c r="AA43" s="13">
        <f t="shared" si="6"/>
        <v>0</v>
      </c>
      <c r="AB43" s="11" t="str">
        <f t="shared" si="7"/>
        <v/>
      </c>
      <c r="AC43" s="11">
        <v>0</v>
      </c>
      <c r="AD43" s="11">
        <v>0</v>
      </c>
      <c r="AE43" s="11" t="str">
        <f t="shared" si="8"/>
        <v/>
      </c>
      <c r="AF43" s="11">
        <v>0</v>
      </c>
      <c r="AG43" s="11">
        <v>0</v>
      </c>
      <c r="AH43" s="11" t="str">
        <f t="shared" si="9"/>
        <v/>
      </c>
      <c r="AI43" s="32" t="s">
        <v>1346</v>
      </c>
      <c r="AJ43" s="33">
        <f t="shared" si="10"/>
        <v>7</v>
      </c>
      <c r="AK43" s="34">
        <f t="shared" si="11"/>
        <v>9</v>
      </c>
      <c r="AL43" s="32">
        <f t="shared" si="12"/>
        <v>5</v>
      </c>
      <c r="AM43" s="32">
        <f t="shared" si="13"/>
        <v>3</v>
      </c>
      <c r="AN43" s="32">
        <f t="shared" si="14"/>
        <v>3</v>
      </c>
      <c r="AO43" s="32">
        <f t="shared" si="15"/>
        <v>3</v>
      </c>
      <c r="AP43" s="32">
        <f t="shared" si="16"/>
        <v>3</v>
      </c>
      <c r="AQ43" s="15">
        <f t="shared" si="17"/>
        <v>9</v>
      </c>
    </row>
    <row r="44" spans="1:43" ht="68" x14ac:dyDescent="0.2">
      <c r="A44" s="7">
        <v>43</v>
      </c>
      <c r="B44" s="8" t="s">
        <v>133</v>
      </c>
      <c r="C44" s="8" t="s">
        <v>134</v>
      </c>
      <c r="D44" s="8" t="s">
        <v>34</v>
      </c>
      <c r="E44" s="16" t="s">
        <v>39</v>
      </c>
      <c r="F44" s="8" t="s">
        <v>36</v>
      </c>
      <c r="G44" s="7">
        <v>830985</v>
      </c>
      <c r="H44" s="9" t="s">
        <v>44</v>
      </c>
      <c r="I44" s="10" t="str">
        <f t="shared" si="0"/>
        <v>NA</v>
      </c>
      <c r="J44" s="10">
        <v>1387720</v>
      </c>
      <c r="K44" s="10">
        <v>0</v>
      </c>
      <c r="L44" s="10">
        <v>-40537</v>
      </c>
      <c r="M44" s="10">
        <f t="shared" si="1"/>
        <v>462573.33333333331</v>
      </c>
      <c r="N44" s="10">
        <v>48595149</v>
      </c>
      <c r="O44" s="10">
        <v>59703164</v>
      </c>
      <c r="P44" s="10">
        <v>58747651</v>
      </c>
      <c r="Q44" s="10">
        <f t="shared" si="2"/>
        <v>55681988</v>
      </c>
      <c r="R44" s="11">
        <f t="shared" si="3"/>
        <v>5.665181531588626</v>
      </c>
      <c r="S44" s="11">
        <f t="shared" si="4"/>
        <v>7.7457147401854138</v>
      </c>
      <c r="T44" s="7"/>
      <c r="U44" s="7"/>
      <c r="V44" s="7"/>
      <c r="W44" s="13">
        <f t="shared" si="5"/>
        <v>0</v>
      </c>
      <c r="X44" s="7" t="s">
        <v>41</v>
      </c>
      <c r="Y44" s="7" t="s">
        <v>59</v>
      </c>
      <c r="Z44" s="7" t="s">
        <v>59</v>
      </c>
      <c r="AA44" s="13">
        <f t="shared" si="6"/>
        <v>0</v>
      </c>
      <c r="AB44" s="11" t="str">
        <f t="shared" si="7"/>
        <v/>
      </c>
      <c r="AC44" s="11">
        <v>0</v>
      </c>
      <c r="AD44" s="11">
        <v>0</v>
      </c>
      <c r="AE44" s="11" t="str">
        <f t="shared" si="8"/>
        <v/>
      </c>
      <c r="AF44" s="11">
        <v>0</v>
      </c>
      <c r="AG44" s="11">
        <v>0</v>
      </c>
      <c r="AH44" s="11" t="str">
        <f t="shared" si="9"/>
        <v/>
      </c>
      <c r="AI44" s="32" t="s">
        <v>1346</v>
      </c>
      <c r="AJ44" s="33">
        <f t="shared" si="10"/>
        <v>5</v>
      </c>
      <c r="AK44" s="34">
        <f t="shared" si="11"/>
        <v>9</v>
      </c>
      <c r="AL44" s="32">
        <f t="shared" si="12"/>
        <v>3</v>
      </c>
      <c r="AM44" s="32">
        <f t="shared" si="13"/>
        <v>9</v>
      </c>
      <c r="AN44" s="32">
        <f t="shared" si="14"/>
        <v>3</v>
      </c>
      <c r="AO44" s="32">
        <f t="shared" si="15"/>
        <v>3</v>
      </c>
      <c r="AP44" s="32">
        <f t="shared" si="16"/>
        <v>3</v>
      </c>
      <c r="AQ44" s="15">
        <f t="shared" si="17"/>
        <v>9</v>
      </c>
    </row>
    <row r="45" spans="1:43" ht="51" x14ac:dyDescent="0.2">
      <c r="A45" s="7">
        <v>44</v>
      </c>
      <c r="B45" s="8" t="s">
        <v>135</v>
      </c>
      <c r="C45" s="8" t="s">
        <v>136</v>
      </c>
      <c r="D45" s="8" t="s">
        <v>34</v>
      </c>
      <c r="E45" s="16" t="s">
        <v>39</v>
      </c>
      <c r="F45" s="8" t="s">
        <v>36</v>
      </c>
      <c r="G45" s="18">
        <v>820981</v>
      </c>
      <c r="H45" s="9">
        <v>45382</v>
      </c>
      <c r="I45" s="10">
        <f t="shared" si="0"/>
        <v>2</v>
      </c>
      <c r="J45" s="10">
        <v>1299641</v>
      </c>
      <c r="K45" s="10">
        <v>1398000</v>
      </c>
      <c r="L45" s="10">
        <v>141640</v>
      </c>
      <c r="M45" s="10">
        <f t="shared" si="1"/>
        <v>946427</v>
      </c>
      <c r="N45" s="10">
        <v>50133684</v>
      </c>
      <c r="O45" s="10">
        <v>59374674</v>
      </c>
      <c r="P45" s="10">
        <v>65938025</v>
      </c>
      <c r="Q45" s="10">
        <f t="shared" si="2"/>
        <v>58482127.666666664</v>
      </c>
      <c r="R45" s="11">
        <f t="shared" si="3"/>
        <v>5.976087580378973</v>
      </c>
      <c r="S45" s="11">
        <f t="shared" si="4"/>
        <v>7.7670231719416352</v>
      </c>
      <c r="T45" s="7"/>
      <c r="U45" s="7"/>
      <c r="V45" s="7">
        <v>0</v>
      </c>
      <c r="W45" s="13">
        <f t="shared" si="5"/>
        <v>0</v>
      </c>
      <c r="X45" s="7" t="s">
        <v>41</v>
      </c>
      <c r="Y45" s="7" t="s">
        <v>59</v>
      </c>
      <c r="Z45" s="7" t="s">
        <v>59</v>
      </c>
      <c r="AA45" s="13">
        <f t="shared" si="6"/>
        <v>0</v>
      </c>
      <c r="AB45" s="11" t="str">
        <f t="shared" si="7"/>
        <v/>
      </c>
      <c r="AC45" s="11">
        <v>0</v>
      </c>
      <c r="AD45" s="11">
        <v>0</v>
      </c>
      <c r="AE45" s="11" t="str">
        <f t="shared" si="8"/>
        <v/>
      </c>
      <c r="AF45" s="11">
        <v>0</v>
      </c>
      <c r="AG45" s="11">
        <v>0</v>
      </c>
      <c r="AH45" s="11" t="str">
        <f t="shared" si="9"/>
        <v/>
      </c>
      <c r="AI45" s="32" t="s">
        <v>1346</v>
      </c>
      <c r="AJ45" s="33">
        <f t="shared" si="10"/>
        <v>7</v>
      </c>
      <c r="AK45" s="34">
        <f t="shared" si="11"/>
        <v>9</v>
      </c>
      <c r="AL45" s="32">
        <f t="shared" si="12"/>
        <v>3</v>
      </c>
      <c r="AM45" s="32">
        <f t="shared" si="13"/>
        <v>3</v>
      </c>
      <c r="AN45" s="32">
        <f t="shared" si="14"/>
        <v>3</v>
      </c>
      <c r="AO45" s="32">
        <f t="shared" si="15"/>
        <v>3</v>
      </c>
      <c r="AP45" s="32">
        <f t="shared" si="16"/>
        <v>3</v>
      </c>
      <c r="AQ45" s="15">
        <f t="shared" si="17"/>
        <v>9</v>
      </c>
    </row>
    <row r="46" spans="1:43" ht="34" x14ac:dyDescent="0.2">
      <c r="A46" s="7">
        <v>45</v>
      </c>
      <c r="B46" s="8" t="s">
        <v>137</v>
      </c>
      <c r="C46" s="8" t="s">
        <v>138</v>
      </c>
      <c r="D46" s="8" t="s">
        <v>34</v>
      </c>
      <c r="E46" s="16" t="s">
        <v>39</v>
      </c>
      <c r="F46" s="8" t="s">
        <v>36</v>
      </c>
      <c r="G46" s="7">
        <v>740988</v>
      </c>
      <c r="H46" s="9" t="s">
        <v>139</v>
      </c>
      <c r="I46" s="10" t="str">
        <f t="shared" si="0"/>
        <v>Established in April 2020</v>
      </c>
      <c r="J46" s="10" t="s">
        <v>40</v>
      </c>
      <c r="K46" s="10" t="s">
        <v>40</v>
      </c>
      <c r="L46" s="10" t="s">
        <v>40</v>
      </c>
      <c r="M46" s="10">
        <f t="shared" si="1"/>
        <v>0</v>
      </c>
      <c r="N46" s="10">
        <v>0</v>
      </c>
      <c r="O46" s="10">
        <v>0</v>
      </c>
      <c r="P46" s="10" t="s">
        <v>44</v>
      </c>
      <c r="Q46" s="10">
        <f t="shared" si="2"/>
        <v>0</v>
      </c>
      <c r="R46" s="11" t="str">
        <f t="shared" si="3"/>
        <v/>
      </c>
      <c r="S46" s="11" t="str">
        <f t="shared" si="4"/>
        <v/>
      </c>
      <c r="T46" s="7"/>
      <c r="U46" s="7"/>
      <c r="V46" s="7"/>
      <c r="W46" s="13">
        <f t="shared" si="5"/>
        <v>0</v>
      </c>
      <c r="X46" s="7" t="s">
        <v>41</v>
      </c>
      <c r="Y46" s="7" t="s">
        <v>59</v>
      </c>
      <c r="Z46" s="7" t="s">
        <v>59</v>
      </c>
      <c r="AA46" s="13">
        <f t="shared" si="6"/>
        <v>0</v>
      </c>
      <c r="AB46" s="11" t="str">
        <f t="shared" si="7"/>
        <v/>
      </c>
      <c r="AC46" s="11">
        <v>0</v>
      </c>
      <c r="AD46" s="11">
        <v>0</v>
      </c>
      <c r="AE46" s="11" t="str">
        <f t="shared" si="8"/>
        <v/>
      </c>
      <c r="AF46" s="11">
        <v>0</v>
      </c>
      <c r="AG46" s="11">
        <v>0</v>
      </c>
      <c r="AH46" s="11" t="str">
        <f t="shared" si="9"/>
        <v/>
      </c>
      <c r="AI46" s="32" t="s">
        <v>1346</v>
      </c>
      <c r="AJ46" s="33">
        <f t="shared" si="10"/>
        <v>3</v>
      </c>
      <c r="AK46" s="34">
        <f t="shared" si="11"/>
        <v>3</v>
      </c>
      <c r="AL46" s="32">
        <f t="shared" si="12"/>
        <v>3</v>
      </c>
      <c r="AM46" s="32">
        <f t="shared" si="13"/>
        <v>9</v>
      </c>
      <c r="AN46" s="32">
        <f t="shared" si="14"/>
        <v>3</v>
      </c>
      <c r="AO46" s="32">
        <f t="shared" si="15"/>
        <v>3</v>
      </c>
      <c r="AP46" s="32">
        <f t="shared" si="16"/>
        <v>3</v>
      </c>
      <c r="AQ46" s="15">
        <f t="shared" si="17"/>
        <v>9</v>
      </c>
    </row>
    <row r="47" spans="1:43" ht="34" x14ac:dyDescent="0.2">
      <c r="A47" s="7">
        <v>46</v>
      </c>
      <c r="B47" s="8" t="s">
        <v>140</v>
      </c>
      <c r="C47" s="8" t="s">
        <v>141</v>
      </c>
      <c r="D47" s="8" t="s">
        <v>34</v>
      </c>
      <c r="E47" s="16" t="s">
        <v>39</v>
      </c>
      <c r="F47" s="8" t="s">
        <v>36</v>
      </c>
      <c r="G47" s="7">
        <v>0</v>
      </c>
      <c r="H47" s="9">
        <v>41729</v>
      </c>
      <c r="I47" s="10">
        <f t="shared" si="0"/>
        <v>12</v>
      </c>
      <c r="J47" s="10" t="s">
        <v>40</v>
      </c>
      <c r="K47" s="10" t="s">
        <v>40</v>
      </c>
      <c r="L47" s="10" t="s">
        <v>40</v>
      </c>
      <c r="M47" s="10">
        <f t="shared" si="1"/>
        <v>0</v>
      </c>
      <c r="N47" s="10" t="s">
        <v>40</v>
      </c>
      <c r="O47" s="10" t="s">
        <v>40</v>
      </c>
      <c r="P47" s="10" t="s">
        <v>40</v>
      </c>
      <c r="Q47" s="10">
        <f t="shared" si="2"/>
        <v>0</v>
      </c>
      <c r="R47" s="11" t="str">
        <f t="shared" si="3"/>
        <v/>
      </c>
      <c r="S47" s="11" t="str">
        <f t="shared" si="4"/>
        <v/>
      </c>
      <c r="T47" s="7"/>
      <c r="U47" s="7"/>
      <c r="V47" s="7"/>
      <c r="W47" s="13">
        <f t="shared" si="5"/>
        <v>0</v>
      </c>
      <c r="X47" s="7" t="s">
        <v>41</v>
      </c>
      <c r="Y47" s="7" t="s">
        <v>59</v>
      </c>
      <c r="Z47" s="7" t="s">
        <v>59</v>
      </c>
      <c r="AA47" s="13">
        <f t="shared" si="6"/>
        <v>0</v>
      </c>
      <c r="AB47" s="11" t="str">
        <f t="shared" si="7"/>
        <v/>
      </c>
      <c r="AC47" s="11">
        <v>0</v>
      </c>
      <c r="AD47" s="11">
        <v>0</v>
      </c>
      <c r="AE47" s="11" t="str">
        <f t="shared" si="8"/>
        <v/>
      </c>
      <c r="AF47" s="11">
        <v>0</v>
      </c>
      <c r="AG47" s="11">
        <v>0</v>
      </c>
      <c r="AH47" s="11" t="str">
        <f t="shared" si="9"/>
        <v/>
      </c>
      <c r="AI47" s="32" t="s">
        <v>1347</v>
      </c>
      <c r="AJ47" s="33">
        <f t="shared" si="10"/>
        <v>3</v>
      </c>
      <c r="AK47" s="34">
        <f t="shared" si="11"/>
        <v>3</v>
      </c>
      <c r="AL47" s="32">
        <f t="shared" si="12"/>
        <v>3</v>
      </c>
      <c r="AM47" s="32">
        <f t="shared" si="13"/>
        <v>9</v>
      </c>
      <c r="AN47" s="32">
        <f t="shared" si="14"/>
        <v>3</v>
      </c>
      <c r="AO47" s="32">
        <f t="shared" si="15"/>
        <v>3</v>
      </c>
      <c r="AP47" s="32">
        <f t="shared" si="16"/>
        <v>3</v>
      </c>
      <c r="AQ47" s="15">
        <f t="shared" si="17"/>
        <v>0</v>
      </c>
    </row>
    <row r="48" spans="1:43" ht="34" x14ac:dyDescent="0.2">
      <c r="A48" s="7">
        <v>47</v>
      </c>
      <c r="B48" s="8" t="s">
        <v>142</v>
      </c>
      <c r="C48" s="8" t="s">
        <v>143</v>
      </c>
      <c r="D48" s="8" t="s">
        <v>34</v>
      </c>
      <c r="E48" s="16" t="s">
        <v>39</v>
      </c>
      <c r="F48" s="8" t="s">
        <v>36</v>
      </c>
      <c r="G48" s="7">
        <v>690983</v>
      </c>
      <c r="H48" s="9">
        <v>45382</v>
      </c>
      <c r="I48" s="10">
        <f t="shared" si="0"/>
        <v>2</v>
      </c>
      <c r="J48" s="10">
        <v>-37842</v>
      </c>
      <c r="K48" s="10">
        <v>2805000</v>
      </c>
      <c r="L48" s="10">
        <v>-98848</v>
      </c>
      <c r="M48" s="10">
        <f t="shared" si="1"/>
        <v>935000</v>
      </c>
      <c r="N48" s="10">
        <v>38873369</v>
      </c>
      <c r="O48" s="10">
        <v>39732033</v>
      </c>
      <c r="P48" s="10">
        <v>39760116</v>
      </c>
      <c r="Q48" s="10">
        <f t="shared" si="2"/>
        <v>39455172.666666664</v>
      </c>
      <c r="R48" s="11">
        <f t="shared" si="3"/>
        <v>5.9708120753583467</v>
      </c>
      <c r="S48" s="11">
        <f t="shared" si="4"/>
        <v>7.5961039593214341</v>
      </c>
      <c r="T48" s="7"/>
      <c r="U48" s="7"/>
      <c r="V48" s="7">
        <v>1</v>
      </c>
      <c r="W48" s="13">
        <f t="shared" si="5"/>
        <v>1</v>
      </c>
      <c r="X48" s="7" t="s">
        <v>41</v>
      </c>
      <c r="Y48" s="7" t="s">
        <v>59</v>
      </c>
      <c r="Z48" s="7" t="s">
        <v>59</v>
      </c>
      <c r="AA48" s="13">
        <f t="shared" si="6"/>
        <v>0</v>
      </c>
      <c r="AB48" s="11" t="str">
        <f t="shared" si="7"/>
        <v/>
      </c>
      <c r="AC48" s="11">
        <v>0</v>
      </c>
      <c r="AD48" s="11">
        <v>0</v>
      </c>
      <c r="AE48" s="11" t="str">
        <f t="shared" si="8"/>
        <v/>
      </c>
      <c r="AF48" s="11">
        <v>0</v>
      </c>
      <c r="AG48" s="11">
        <v>0</v>
      </c>
      <c r="AH48" s="11" t="str">
        <f t="shared" si="9"/>
        <v/>
      </c>
      <c r="AI48" s="32" t="s">
        <v>1346</v>
      </c>
      <c r="AJ48" s="33">
        <f t="shared" si="10"/>
        <v>7</v>
      </c>
      <c r="AK48" s="34">
        <f t="shared" si="11"/>
        <v>7</v>
      </c>
      <c r="AL48" s="32">
        <f t="shared" si="12"/>
        <v>5</v>
      </c>
      <c r="AM48" s="32">
        <f t="shared" si="13"/>
        <v>3</v>
      </c>
      <c r="AN48" s="32">
        <f t="shared" si="14"/>
        <v>3</v>
      </c>
      <c r="AO48" s="32">
        <f t="shared" si="15"/>
        <v>3</v>
      </c>
      <c r="AP48" s="32">
        <f t="shared" si="16"/>
        <v>3</v>
      </c>
      <c r="AQ48" s="15">
        <f t="shared" si="17"/>
        <v>9</v>
      </c>
    </row>
    <row r="49" spans="1:43" ht="34" x14ac:dyDescent="0.2">
      <c r="A49" s="7">
        <v>48</v>
      </c>
      <c r="B49" s="8" t="s">
        <v>144</v>
      </c>
      <c r="C49" s="8" t="s">
        <v>145</v>
      </c>
      <c r="D49" s="8" t="s">
        <v>34</v>
      </c>
      <c r="E49" s="16" t="s">
        <v>39</v>
      </c>
      <c r="F49" s="8" t="s">
        <v>36</v>
      </c>
      <c r="G49" s="7">
        <v>690982</v>
      </c>
      <c r="H49" s="9">
        <v>45382</v>
      </c>
      <c r="I49" s="10">
        <f t="shared" si="0"/>
        <v>2</v>
      </c>
      <c r="J49" s="10">
        <v>-197494</v>
      </c>
      <c r="K49" s="10">
        <v>0</v>
      </c>
      <c r="L49" s="10">
        <v>0</v>
      </c>
      <c r="M49" s="10">
        <f t="shared" si="1"/>
        <v>0</v>
      </c>
      <c r="N49" s="10">
        <v>64637224</v>
      </c>
      <c r="O49" s="10">
        <v>57690571</v>
      </c>
      <c r="P49" s="10">
        <v>55535588</v>
      </c>
      <c r="Q49" s="10">
        <f t="shared" si="2"/>
        <v>59287794.333333336</v>
      </c>
      <c r="R49" s="11" t="str">
        <f t="shared" si="3"/>
        <v/>
      </c>
      <c r="S49" s="11">
        <f t="shared" si="4"/>
        <v>7.7729653010386759</v>
      </c>
      <c r="T49" s="7"/>
      <c r="U49" s="7"/>
      <c r="V49" s="7">
        <v>0</v>
      </c>
      <c r="W49" s="13">
        <f t="shared" si="5"/>
        <v>0</v>
      </c>
      <c r="X49" s="7" t="s">
        <v>47</v>
      </c>
      <c r="Y49" s="7" t="s">
        <v>48</v>
      </c>
      <c r="Z49" s="7" t="s">
        <v>85</v>
      </c>
      <c r="AA49" s="13">
        <f t="shared" si="6"/>
        <v>0</v>
      </c>
      <c r="AB49" s="11" t="str">
        <f t="shared" si="7"/>
        <v/>
      </c>
      <c r="AC49" s="11">
        <v>0</v>
      </c>
      <c r="AD49" s="11">
        <v>0</v>
      </c>
      <c r="AE49" s="11" t="str">
        <f t="shared" si="8"/>
        <v/>
      </c>
      <c r="AF49" s="11">
        <v>0</v>
      </c>
      <c r="AG49" s="11">
        <v>0</v>
      </c>
      <c r="AH49" s="11" t="str">
        <f t="shared" si="9"/>
        <v/>
      </c>
      <c r="AI49" s="32" t="s">
        <v>1346</v>
      </c>
      <c r="AJ49" s="33">
        <f t="shared" si="10"/>
        <v>3</v>
      </c>
      <c r="AK49" s="34">
        <f t="shared" si="11"/>
        <v>9</v>
      </c>
      <c r="AL49" s="32">
        <f t="shared" si="12"/>
        <v>3</v>
      </c>
      <c r="AM49" s="32">
        <f t="shared" si="13"/>
        <v>3</v>
      </c>
      <c r="AN49" s="32">
        <f t="shared" si="14"/>
        <v>3</v>
      </c>
      <c r="AO49" s="32">
        <f t="shared" si="15"/>
        <v>3</v>
      </c>
      <c r="AP49" s="32">
        <f t="shared" si="16"/>
        <v>3</v>
      </c>
      <c r="AQ49" s="15">
        <f t="shared" si="17"/>
        <v>9</v>
      </c>
    </row>
    <row r="50" spans="1:43" ht="34" x14ac:dyDescent="0.2">
      <c r="A50" s="7">
        <v>49</v>
      </c>
      <c r="B50" s="8" t="s">
        <v>146</v>
      </c>
      <c r="C50" s="8" t="s">
        <v>147</v>
      </c>
      <c r="D50" s="8" t="s">
        <v>34</v>
      </c>
      <c r="E50" s="16" t="s">
        <v>39</v>
      </c>
      <c r="F50" s="8" t="s">
        <v>36</v>
      </c>
      <c r="G50" s="7">
        <v>560983</v>
      </c>
      <c r="H50" s="9">
        <v>45382</v>
      </c>
      <c r="I50" s="10">
        <f t="shared" si="0"/>
        <v>2</v>
      </c>
      <c r="J50" s="10">
        <v>0</v>
      </c>
      <c r="K50" s="10">
        <v>0</v>
      </c>
      <c r="L50" s="10">
        <v>0</v>
      </c>
      <c r="M50" s="10">
        <f t="shared" si="1"/>
        <v>0</v>
      </c>
      <c r="N50" s="10">
        <v>1109558</v>
      </c>
      <c r="O50" s="10">
        <v>840631</v>
      </c>
      <c r="P50" s="10">
        <v>54558256</v>
      </c>
      <c r="Q50" s="10">
        <f t="shared" si="2"/>
        <v>18836148.333333332</v>
      </c>
      <c r="R50" s="11" t="str">
        <f t="shared" si="3"/>
        <v/>
      </c>
      <c r="S50" s="11">
        <f t="shared" si="4"/>
        <v>7.2749921248788576</v>
      </c>
      <c r="T50" s="7"/>
      <c r="U50" s="7"/>
      <c r="V50" s="7">
        <v>3</v>
      </c>
      <c r="W50" s="13">
        <f t="shared" si="5"/>
        <v>3</v>
      </c>
      <c r="X50" s="7" t="s">
        <v>41</v>
      </c>
      <c r="Y50" s="7" t="s">
        <v>59</v>
      </c>
      <c r="Z50" s="7" t="s">
        <v>59</v>
      </c>
      <c r="AA50" s="13">
        <f t="shared" si="6"/>
        <v>0</v>
      </c>
      <c r="AB50" s="11" t="str">
        <f t="shared" si="7"/>
        <v/>
      </c>
      <c r="AC50" s="11">
        <v>0</v>
      </c>
      <c r="AD50" s="11">
        <v>0</v>
      </c>
      <c r="AE50" s="11" t="str">
        <f t="shared" si="8"/>
        <v/>
      </c>
      <c r="AF50" s="11">
        <v>0</v>
      </c>
      <c r="AG50" s="11">
        <v>0</v>
      </c>
      <c r="AH50" s="11" t="str">
        <f t="shared" si="9"/>
        <v/>
      </c>
      <c r="AI50" s="32" t="s">
        <v>1346</v>
      </c>
      <c r="AJ50" s="33">
        <f t="shared" si="10"/>
        <v>3</v>
      </c>
      <c r="AK50" s="34">
        <f t="shared" si="11"/>
        <v>5</v>
      </c>
      <c r="AL50" s="32">
        <f t="shared" si="12"/>
        <v>7</v>
      </c>
      <c r="AM50" s="32">
        <f t="shared" si="13"/>
        <v>3</v>
      </c>
      <c r="AN50" s="32">
        <f t="shared" si="14"/>
        <v>3</v>
      </c>
      <c r="AO50" s="32">
        <f t="shared" si="15"/>
        <v>3</v>
      </c>
      <c r="AP50" s="32">
        <f t="shared" si="16"/>
        <v>3</v>
      </c>
      <c r="AQ50" s="15">
        <f t="shared" si="17"/>
        <v>9</v>
      </c>
    </row>
    <row r="51" spans="1:43" ht="34" x14ac:dyDescent="0.2">
      <c r="A51" s="7">
        <v>50</v>
      </c>
      <c r="B51" s="8" t="s">
        <v>148</v>
      </c>
      <c r="C51" s="8" t="s">
        <v>149</v>
      </c>
      <c r="D51" s="8" t="s">
        <v>34</v>
      </c>
      <c r="E51" s="16" t="s">
        <v>39</v>
      </c>
      <c r="F51" s="8" t="s">
        <v>36</v>
      </c>
      <c r="G51" s="7">
        <v>560981</v>
      </c>
      <c r="H51" s="9">
        <v>45382</v>
      </c>
      <c r="I51" s="10">
        <f t="shared" si="0"/>
        <v>2</v>
      </c>
      <c r="J51" s="10" t="s">
        <v>40</v>
      </c>
      <c r="K51" s="10" t="s">
        <v>40</v>
      </c>
      <c r="L51" s="10">
        <v>0</v>
      </c>
      <c r="M51" s="10">
        <f t="shared" si="1"/>
        <v>0</v>
      </c>
      <c r="N51" s="10">
        <v>0</v>
      </c>
      <c r="O51" s="10">
        <v>0</v>
      </c>
      <c r="P51" s="10">
        <v>58825018</v>
      </c>
      <c r="Q51" s="10">
        <f t="shared" si="2"/>
        <v>19608339.333333332</v>
      </c>
      <c r="R51" s="11" t="str">
        <f t="shared" si="3"/>
        <v/>
      </c>
      <c r="S51" s="11">
        <f t="shared" si="4"/>
        <v>7.2924408361676232</v>
      </c>
      <c r="T51" s="7"/>
      <c r="U51" s="7"/>
      <c r="V51" s="7">
        <v>4</v>
      </c>
      <c r="W51" s="13">
        <f t="shared" si="5"/>
        <v>4</v>
      </c>
      <c r="X51" s="7" t="s">
        <v>41</v>
      </c>
      <c r="Y51" s="7" t="s">
        <v>59</v>
      </c>
      <c r="Z51" s="7" t="s">
        <v>59</v>
      </c>
      <c r="AA51" s="13">
        <f t="shared" si="6"/>
        <v>0</v>
      </c>
      <c r="AB51" s="11" t="str">
        <f t="shared" si="7"/>
        <v/>
      </c>
      <c r="AC51" s="11">
        <v>0</v>
      </c>
      <c r="AD51" s="11">
        <v>0</v>
      </c>
      <c r="AE51" s="11" t="str">
        <f t="shared" si="8"/>
        <v/>
      </c>
      <c r="AF51" s="11">
        <v>0</v>
      </c>
      <c r="AG51" s="11">
        <v>0</v>
      </c>
      <c r="AH51" s="11" t="str">
        <f t="shared" si="9"/>
        <v/>
      </c>
      <c r="AI51" s="32" t="s">
        <v>1346</v>
      </c>
      <c r="AJ51" s="33">
        <f t="shared" si="10"/>
        <v>3</v>
      </c>
      <c r="AK51" s="34">
        <f t="shared" si="11"/>
        <v>5</v>
      </c>
      <c r="AL51" s="32">
        <f t="shared" si="12"/>
        <v>7</v>
      </c>
      <c r="AM51" s="32">
        <f t="shared" si="13"/>
        <v>3</v>
      </c>
      <c r="AN51" s="32">
        <f t="shared" si="14"/>
        <v>3</v>
      </c>
      <c r="AO51" s="32">
        <f t="shared" si="15"/>
        <v>3</v>
      </c>
      <c r="AP51" s="32">
        <f t="shared" si="16"/>
        <v>3</v>
      </c>
      <c r="AQ51" s="15">
        <f t="shared" si="17"/>
        <v>9</v>
      </c>
    </row>
    <row r="52" spans="1:43" ht="34" x14ac:dyDescent="0.2">
      <c r="A52" s="7">
        <v>51</v>
      </c>
      <c r="B52" s="8" t="s">
        <v>150</v>
      </c>
      <c r="C52" s="8" t="s">
        <v>151</v>
      </c>
      <c r="D52" s="8" t="s">
        <v>34</v>
      </c>
      <c r="E52" s="16" t="s">
        <v>39</v>
      </c>
      <c r="F52" s="8" t="s">
        <v>36</v>
      </c>
      <c r="G52" s="7">
        <v>0</v>
      </c>
      <c r="H52" s="9">
        <v>42460</v>
      </c>
      <c r="I52" s="10">
        <f t="shared" si="0"/>
        <v>10</v>
      </c>
      <c r="J52" s="10" t="s">
        <v>40</v>
      </c>
      <c r="K52" s="10" t="s">
        <v>40</v>
      </c>
      <c r="L52" s="10" t="s">
        <v>40</v>
      </c>
      <c r="M52" s="10">
        <f t="shared" si="1"/>
        <v>0</v>
      </c>
      <c r="N52" s="10" t="s">
        <v>40</v>
      </c>
      <c r="O52" s="10" t="s">
        <v>40</v>
      </c>
      <c r="P52" s="10" t="s">
        <v>40</v>
      </c>
      <c r="Q52" s="10">
        <f t="shared" si="2"/>
        <v>0</v>
      </c>
      <c r="R52" s="11" t="str">
        <f t="shared" si="3"/>
        <v/>
      </c>
      <c r="S52" s="11" t="str">
        <f t="shared" si="4"/>
        <v/>
      </c>
      <c r="T52" s="7"/>
      <c r="U52" s="7"/>
      <c r="V52" s="7"/>
      <c r="W52" s="13">
        <f t="shared" si="5"/>
        <v>0</v>
      </c>
      <c r="X52" s="7" t="s">
        <v>41</v>
      </c>
      <c r="Y52" s="7" t="s">
        <v>59</v>
      </c>
      <c r="Z52" s="7" t="s">
        <v>59</v>
      </c>
      <c r="AA52" s="13">
        <f t="shared" si="6"/>
        <v>0</v>
      </c>
      <c r="AB52" s="11" t="str">
        <f t="shared" si="7"/>
        <v/>
      </c>
      <c r="AC52" s="11">
        <v>0</v>
      </c>
      <c r="AD52" s="11">
        <v>0</v>
      </c>
      <c r="AE52" s="11" t="str">
        <f t="shared" si="8"/>
        <v/>
      </c>
      <c r="AF52" s="11">
        <v>0</v>
      </c>
      <c r="AG52" s="11">
        <v>0</v>
      </c>
      <c r="AH52" s="11" t="str">
        <f t="shared" si="9"/>
        <v/>
      </c>
      <c r="AI52" s="32" t="s">
        <v>1347</v>
      </c>
      <c r="AJ52" s="33">
        <f t="shared" si="10"/>
        <v>3</v>
      </c>
      <c r="AK52" s="34">
        <f t="shared" si="11"/>
        <v>3</v>
      </c>
      <c r="AL52" s="32">
        <f t="shared" si="12"/>
        <v>3</v>
      </c>
      <c r="AM52" s="32">
        <f t="shared" si="13"/>
        <v>7</v>
      </c>
      <c r="AN52" s="32">
        <f t="shared" si="14"/>
        <v>3</v>
      </c>
      <c r="AO52" s="32">
        <f t="shared" si="15"/>
        <v>3</v>
      </c>
      <c r="AP52" s="32">
        <f t="shared" si="16"/>
        <v>3</v>
      </c>
      <c r="AQ52" s="15">
        <f t="shared" si="17"/>
        <v>0</v>
      </c>
    </row>
    <row r="53" spans="1:43" ht="51" x14ac:dyDescent="0.2">
      <c r="A53" s="7">
        <v>52</v>
      </c>
      <c r="B53" s="8" t="s">
        <v>152</v>
      </c>
      <c r="C53" s="8" t="s">
        <v>153</v>
      </c>
      <c r="D53" s="8" t="s">
        <v>34</v>
      </c>
      <c r="E53" s="16" t="s">
        <v>39</v>
      </c>
      <c r="F53" s="8" t="s">
        <v>36</v>
      </c>
      <c r="G53" s="7">
        <v>510982</v>
      </c>
      <c r="H53" s="9">
        <v>45747</v>
      </c>
      <c r="I53" s="10">
        <f t="shared" si="0"/>
        <v>1</v>
      </c>
      <c r="J53" s="10">
        <v>-109123</v>
      </c>
      <c r="K53" s="10">
        <v>-44230</v>
      </c>
      <c r="L53" s="10">
        <v>892067</v>
      </c>
      <c r="M53" s="10">
        <f t="shared" si="1"/>
        <v>297355.66666666669</v>
      </c>
      <c r="N53" s="10">
        <v>45533726</v>
      </c>
      <c r="O53" s="10">
        <v>44862979</v>
      </c>
      <c r="P53" s="10">
        <v>48073259</v>
      </c>
      <c r="Q53" s="10">
        <f t="shared" si="2"/>
        <v>46156654.666666664</v>
      </c>
      <c r="R53" s="11">
        <f t="shared" si="3"/>
        <v>5.4732776797247862</v>
      </c>
      <c r="S53" s="11">
        <f t="shared" si="4"/>
        <v>7.6642343339836883</v>
      </c>
      <c r="T53" s="7"/>
      <c r="U53" s="7"/>
      <c r="V53" s="7"/>
      <c r="W53" s="13">
        <f t="shared" si="5"/>
        <v>0</v>
      </c>
      <c r="X53" s="7" t="s">
        <v>41</v>
      </c>
      <c r="Y53" s="7" t="s">
        <v>59</v>
      </c>
      <c r="Z53" s="7" t="s">
        <v>59</v>
      </c>
      <c r="AA53" s="13">
        <f t="shared" si="6"/>
        <v>0</v>
      </c>
      <c r="AB53" s="11" t="str">
        <f t="shared" si="7"/>
        <v/>
      </c>
      <c r="AC53" s="11">
        <v>0</v>
      </c>
      <c r="AD53" s="11">
        <v>0</v>
      </c>
      <c r="AE53" s="11" t="str">
        <f t="shared" si="8"/>
        <v/>
      </c>
      <c r="AF53" s="11">
        <v>0</v>
      </c>
      <c r="AG53" s="11">
        <v>0</v>
      </c>
      <c r="AH53" s="11" t="str">
        <f t="shared" si="9"/>
        <v/>
      </c>
      <c r="AI53" s="32" t="s">
        <v>1347</v>
      </c>
      <c r="AJ53" s="33">
        <f t="shared" si="10"/>
        <v>5</v>
      </c>
      <c r="AK53" s="34">
        <f t="shared" si="11"/>
        <v>7</v>
      </c>
      <c r="AL53" s="32">
        <f t="shared" si="12"/>
        <v>3</v>
      </c>
      <c r="AM53" s="32">
        <f t="shared" si="13"/>
        <v>3</v>
      </c>
      <c r="AN53" s="32">
        <f t="shared" si="14"/>
        <v>3</v>
      </c>
      <c r="AO53" s="32">
        <f t="shared" si="15"/>
        <v>3</v>
      </c>
      <c r="AP53" s="32">
        <f t="shared" si="16"/>
        <v>3</v>
      </c>
      <c r="AQ53" s="15">
        <f t="shared" si="17"/>
        <v>0</v>
      </c>
    </row>
    <row r="54" spans="1:43" ht="34" x14ac:dyDescent="0.2">
      <c r="A54" s="7">
        <v>53</v>
      </c>
      <c r="B54" s="8" t="s">
        <v>154</v>
      </c>
      <c r="C54" s="8" t="s">
        <v>155</v>
      </c>
      <c r="D54" s="8" t="s">
        <v>34</v>
      </c>
      <c r="E54" s="16" t="s">
        <v>39</v>
      </c>
      <c r="F54" s="8" t="s">
        <v>36</v>
      </c>
      <c r="G54" s="7">
        <v>600981</v>
      </c>
      <c r="H54" s="9">
        <v>43190</v>
      </c>
      <c r="I54" s="10">
        <f t="shared" si="0"/>
        <v>8</v>
      </c>
      <c r="J54" s="10">
        <v>0</v>
      </c>
      <c r="K54" s="10">
        <v>-32355</v>
      </c>
      <c r="L54" s="10">
        <v>0</v>
      </c>
      <c r="M54" s="10">
        <f t="shared" si="1"/>
        <v>0</v>
      </c>
      <c r="N54" s="10">
        <v>22586074</v>
      </c>
      <c r="O54" s="10">
        <v>22725827</v>
      </c>
      <c r="P54" s="10">
        <v>23463722</v>
      </c>
      <c r="Q54" s="10">
        <f t="shared" si="2"/>
        <v>22925207.666666668</v>
      </c>
      <c r="R54" s="11" t="str">
        <f t="shared" si="3"/>
        <v/>
      </c>
      <c r="S54" s="11">
        <f t="shared" si="4"/>
        <v>7.3603132973352743</v>
      </c>
      <c r="T54" s="7"/>
      <c r="U54" s="7"/>
      <c r="V54" s="7"/>
      <c r="W54" s="13">
        <f t="shared" si="5"/>
        <v>0</v>
      </c>
      <c r="X54" s="7" t="s">
        <v>41</v>
      </c>
      <c r="Y54" s="7" t="s">
        <v>59</v>
      </c>
      <c r="Z54" s="7" t="s">
        <v>59</v>
      </c>
      <c r="AA54" s="13">
        <f t="shared" si="6"/>
        <v>0</v>
      </c>
      <c r="AB54" s="11" t="str">
        <f t="shared" si="7"/>
        <v/>
      </c>
      <c r="AC54" s="11">
        <v>0</v>
      </c>
      <c r="AD54" s="11">
        <v>0</v>
      </c>
      <c r="AE54" s="11" t="str">
        <f t="shared" si="8"/>
        <v/>
      </c>
      <c r="AF54" s="11">
        <v>0</v>
      </c>
      <c r="AG54" s="11">
        <v>0</v>
      </c>
      <c r="AH54" s="11" t="str">
        <f t="shared" si="9"/>
        <v/>
      </c>
      <c r="AI54" s="32" t="s">
        <v>1347</v>
      </c>
      <c r="AJ54" s="33">
        <f t="shared" si="10"/>
        <v>3</v>
      </c>
      <c r="AK54" s="34">
        <f t="shared" si="11"/>
        <v>5</v>
      </c>
      <c r="AL54" s="32">
        <f t="shared" si="12"/>
        <v>3</v>
      </c>
      <c r="AM54" s="32">
        <f t="shared" si="13"/>
        <v>7</v>
      </c>
      <c r="AN54" s="32">
        <f t="shared" si="14"/>
        <v>3</v>
      </c>
      <c r="AO54" s="32">
        <f t="shared" si="15"/>
        <v>3</v>
      </c>
      <c r="AP54" s="32">
        <f t="shared" si="16"/>
        <v>3</v>
      </c>
      <c r="AQ54" s="15">
        <f t="shared" si="17"/>
        <v>0</v>
      </c>
    </row>
    <row r="55" spans="1:43" ht="51" x14ac:dyDescent="0.2">
      <c r="A55" s="7">
        <v>54</v>
      </c>
      <c r="B55" s="8" t="s">
        <v>156</v>
      </c>
      <c r="C55" s="8" t="s">
        <v>157</v>
      </c>
      <c r="D55" s="8" t="s">
        <v>34</v>
      </c>
      <c r="E55" s="16" t="s">
        <v>39</v>
      </c>
      <c r="F55" s="8" t="s">
        <v>36</v>
      </c>
      <c r="G55" s="7">
        <v>750981</v>
      </c>
      <c r="H55" s="9">
        <v>43190</v>
      </c>
      <c r="I55" s="10">
        <f t="shared" si="0"/>
        <v>8</v>
      </c>
      <c r="J55" s="10">
        <v>-40584</v>
      </c>
      <c r="K55" s="10">
        <v>0</v>
      </c>
      <c r="L55" s="10">
        <v>0</v>
      </c>
      <c r="M55" s="10">
        <f t="shared" si="1"/>
        <v>0</v>
      </c>
      <c r="N55" s="10">
        <v>21568056</v>
      </c>
      <c r="O55" s="10">
        <v>23073514</v>
      </c>
      <c r="P55" s="10">
        <v>21353025</v>
      </c>
      <c r="Q55" s="10">
        <f t="shared" si="2"/>
        <v>21998198.333333332</v>
      </c>
      <c r="R55" s="11" t="str">
        <f t="shared" si="3"/>
        <v/>
      </c>
      <c r="S55" s="11">
        <f t="shared" si="4"/>
        <v>7.3423871330220978</v>
      </c>
      <c r="T55" s="7"/>
      <c r="U55" s="7"/>
      <c r="V55" s="7"/>
      <c r="W55" s="13">
        <f t="shared" si="5"/>
        <v>0</v>
      </c>
      <c r="X55" s="7" t="s">
        <v>41</v>
      </c>
      <c r="Y55" s="7" t="s">
        <v>59</v>
      </c>
      <c r="Z55" s="7" t="s">
        <v>59</v>
      </c>
      <c r="AA55" s="13">
        <f t="shared" si="6"/>
        <v>0</v>
      </c>
      <c r="AB55" s="11" t="str">
        <f t="shared" si="7"/>
        <v/>
      </c>
      <c r="AC55" s="11">
        <v>0</v>
      </c>
      <c r="AD55" s="11">
        <v>0</v>
      </c>
      <c r="AE55" s="11" t="str">
        <f t="shared" si="8"/>
        <v/>
      </c>
      <c r="AF55" s="11">
        <v>0</v>
      </c>
      <c r="AG55" s="11">
        <v>0</v>
      </c>
      <c r="AH55" s="11" t="str">
        <f t="shared" si="9"/>
        <v/>
      </c>
      <c r="AI55" s="32" t="s">
        <v>1347</v>
      </c>
      <c r="AJ55" s="33">
        <f t="shared" si="10"/>
        <v>3</v>
      </c>
      <c r="AK55" s="34">
        <f t="shared" si="11"/>
        <v>5</v>
      </c>
      <c r="AL55" s="32">
        <f t="shared" si="12"/>
        <v>3</v>
      </c>
      <c r="AM55" s="32">
        <f t="shared" si="13"/>
        <v>7</v>
      </c>
      <c r="AN55" s="32">
        <f t="shared" si="14"/>
        <v>3</v>
      </c>
      <c r="AO55" s="32">
        <f t="shared" si="15"/>
        <v>3</v>
      </c>
      <c r="AP55" s="32">
        <f t="shared" si="16"/>
        <v>3</v>
      </c>
      <c r="AQ55" s="15">
        <f t="shared" si="17"/>
        <v>0</v>
      </c>
    </row>
    <row r="56" spans="1:43" ht="51" x14ac:dyDescent="0.2">
      <c r="A56" s="7">
        <v>55</v>
      </c>
      <c r="B56" s="8" t="s">
        <v>158</v>
      </c>
      <c r="C56" s="8" t="s">
        <v>159</v>
      </c>
      <c r="D56" s="8" t="s">
        <v>34</v>
      </c>
      <c r="E56" s="16" t="s">
        <v>39</v>
      </c>
      <c r="F56" s="8" t="s">
        <v>36</v>
      </c>
      <c r="G56" s="7">
        <v>670982</v>
      </c>
      <c r="H56" s="9">
        <v>43190</v>
      </c>
      <c r="I56" s="10">
        <f t="shared" si="0"/>
        <v>8</v>
      </c>
      <c r="J56" s="10">
        <v>0</v>
      </c>
      <c r="K56" s="10">
        <v>1028640</v>
      </c>
      <c r="L56" s="10">
        <v>1308055</v>
      </c>
      <c r="M56" s="10">
        <f t="shared" si="1"/>
        <v>778898.33333333337</v>
      </c>
      <c r="N56" s="10">
        <v>27923756</v>
      </c>
      <c r="O56" s="10">
        <v>30312408</v>
      </c>
      <c r="P56" s="10">
        <v>31301687</v>
      </c>
      <c r="Q56" s="10">
        <f t="shared" si="2"/>
        <v>29845950.333333332</v>
      </c>
      <c r="R56" s="11">
        <f t="shared" si="3"/>
        <v>5.8914813321232815</v>
      </c>
      <c r="S56" s="11">
        <f t="shared" si="4"/>
        <v>7.4748854264923059</v>
      </c>
      <c r="T56" s="7"/>
      <c r="U56" s="7"/>
      <c r="V56" s="7"/>
      <c r="W56" s="13">
        <f t="shared" si="5"/>
        <v>0</v>
      </c>
      <c r="X56" s="7" t="s">
        <v>41</v>
      </c>
      <c r="Y56" s="7" t="s">
        <v>59</v>
      </c>
      <c r="Z56" s="7" t="s">
        <v>59</v>
      </c>
      <c r="AA56" s="13">
        <f t="shared" si="6"/>
        <v>0</v>
      </c>
      <c r="AB56" s="11" t="str">
        <f t="shared" si="7"/>
        <v/>
      </c>
      <c r="AC56" s="11">
        <v>0</v>
      </c>
      <c r="AD56" s="11">
        <v>0</v>
      </c>
      <c r="AE56" s="11" t="str">
        <f t="shared" si="8"/>
        <v/>
      </c>
      <c r="AF56" s="11">
        <v>0</v>
      </c>
      <c r="AG56" s="11">
        <v>0</v>
      </c>
      <c r="AH56" s="11" t="str">
        <f t="shared" si="9"/>
        <v/>
      </c>
      <c r="AI56" s="32" t="s">
        <v>1347</v>
      </c>
      <c r="AJ56" s="33">
        <f t="shared" si="10"/>
        <v>5</v>
      </c>
      <c r="AK56" s="34">
        <f t="shared" si="11"/>
        <v>5</v>
      </c>
      <c r="AL56" s="32">
        <f t="shared" si="12"/>
        <v>3</v>
      </c>
      <c r="AM56" s="32">
        <f t="shared" si="13"/>
        <v>7</v>
      </c>
      <c r="AN56" s="32">
        <f t="shared" si="14"/>
        <v>3</v>
      </c>
      <c r="AO56" s="32">
        <f t="shared" si="15"/>
        <v>3</v>
      </c>
      <c r="AP56" s="32">
        <f t="shared" si="16"/>
        <v>3</v>
      </c>
      <c r="AQ56" s="15">
        <f t="shared" si="17"/>
        <v>0</v>
      </c>
    </row>
    <row r="57" spans="1:43" ht="34" x14ac:dyDescent="0.2">
      <c r="A57" s="7">
        <v>56</v>
      </c>
      <c r="B57" s="8" t="s">
        <v>160</v>
      </c>
      <c r="C57" s="8" t="s">
        <v>161</v>
      </c>
      <c r="D57" s="8" t="s">
        <v>34</v>
      </c>
      <c r="E57" s="16" t="s">
        <v>39</v>
      </c>
      <c r="F57" s="8" t="s">
        <v>36</v>
      </c>
      <c r="G57" s="7">
        <v>0</v>
      </c>
      <c r="H57" s="9">
        <v>42460</v>
      </c>
      <c r="I57" s="10">
        <f t="shared" si="0"/>
        <v>10</v>
      </c>
      <c r="J57" s="10" t="s">
        <v>40</v>
      </c>
      <c r="K57" s="10" t="s">
        <v>40</v>
      </c>
      <c r="L57" s="10" t="s">
        <v>40</v>
      </c>
      <c r="M57" s="10">
        <f t="shared" si="1"/>
        <v>0</v>
      </c>
      <c r="N57" s="10" t="s">
        <v>40</v>
      </c>
      <c r="O57" s="10" t="s">
        <v>40</v>
      </c>
      <c r="P57" s="10" t="s">
        <v>40</v>
      </c>
      <c r="Q57" s="10">
        <f t="shared" si="2"/>
        <v>0</v>
      </c>
      <c r="R57" s="11" t="str">
        <f t="shared" si="3"/>
        <v/>
      </c>
      <c r="S57" s="11" t="str">
        <f t="shared" si="4"/>
        <v/>
      </c>
      <c r="T57" s="7"/>
      <c r="U57" s="7"/>
      <c r="V57" s="7"/>
      <c r="W57" s="13">
        <f t="shared" si="5"/>
        <v>0</v>
      </c>
      <c r="X57" s="7" t="s">
        <v>41</v>
      </c>
      <c r="Y57" s="7" t="s">
        <v>59</v>
      </c>
      <c r="Z57" s="7" t="s">
        <v>59</v>
      </c>
      <c r="AA57" s="13">
        <f t="shared" si="6"/>
        <v>0</v>
      </c>
      <c r="AB57" s="11" t="str">
        <f t="shared" si="7"/>
        <v/>
      </c>
      <c r="AC57" s="11">
        <v>0</v>
      </c>
      <c r="AD57" s="11">
        <v>0</v>
      </c>
      <c r="AE57" s="11" t="str">
        <f t="shared" si="8"/>
        <v/>
      </c>
      <c r="AF57" s="11">
        <v>0</v>
      </c>
      <c r="AG57" s="11">
        <v>0</v>
      </c>
      <c r="AH57" s="11" t="str">
        <f t="shared" si="9"/>
        <v/>
      </c>
      <c r="AI57" s="32" t="s">
        <v>1347</v>
      </c>
      <c r="AJ57" s="33">
        <f t="shared" si="10"/>
        <v>3</v>
      </c>
      <c r="AK57" s="34">
        <f t="shared" si="11"/>
        <v>3</v>
      </c>
      <c r="AL57" s="32">
        <f t="shared" si="12"/>
        <v>3</v>
      </c>
      <c r="AM57" s="32">
        <f t="shared" si="13"/>
        <v>7</v>
      </c>
      <c r="AN57" s="32">
        <f t="shared" si="14"/>
        <v>3</v>
      </c>
      <c r="AO57" s="32">
        <f t="shared" si="15"/>
        <v>3</v>
      </c>
      <c r="AP57" s="32">
        <f t="shared" si="16"/>
        <v>3</v>
      </c>
      <c r="AQ57" s="15">
        <f t="shared" si="17"/>
        <v>0</v>
      </c>
    </row>
    <row r="58" spans="1:43" ht="34" x14ac:dyDescent="0.2">
      <c r="A58" s="7">
        <v>57</v>
      </c>
      <c r="B58" s="8" t="s">
        <v>162</v>
      </c>
      <c r="C58" s="8" t="s">
        <v>163</v>
      </c>
      <c r="D58" s="8" t="s">
        <v>34</v>
      </c>
      <c r="E58" s="16" t="s">
        <v>39</v>
      </c>
      <c r="F58" s="8" t="s">
        <v>36</v>
      </c>
      <c r="G58" s="7">
        <v>640983</v>
      </c>
      <c r="H58" s="9">
        <v>45747</v>
      </c>
      <c r="I58" s="10">
        <f t="shared" si="0"/>
        <v>1</v>
      </c>
      <c r="J58" s="10">
        <v>0</v>
      </c>
      <c r="K58" s="10">
        <v>27265</v>
      </c>
      <c r="L58" s="10">
        <v>-8071</v>
      </c>
      <c r="M58" s="10">
        <f t="shared" si="1"/>
        <v>9088.3333333333339</v>
      </c>
      <c r="N58" s="10">
        <v>63019875</v>
      </c>
      <c r="O58" s="10">
        <v>63133737</v>
      </c>
      <c r="P58" s="10">
        <v>66792791</v>
      </c>
      <c r="Q58" s="10">
        <f t="shared" si="2"/>
        <v>64315467.666666664</v>
      </c>
      <c r="R58" s="11">
        <f t="shared" si="3"/>
        <v>3.9585320306067562</v>
      </c>
      <c r="S58" s="11">
        <f t="shared" si="4"/>
        <v>7.8083154386883757</v>
      </c>
      <c r="T58" s="7"/>
      <c r="U58" s="7"/>
      <c r="V58" s="7"/>
      <c r="W58" s="13">
        <f t="shared" si="5"/>
        <v>0</v>
      </c>
      <c r="X58" s="7" t="s">
        <v>41</v>
      </c>
      <c r="Y58" s="7" t="s">
        <v>59</v>
      </c>
      <c r="Z58" s="7" t="s">
        <v>59</v>
      </c>
      <c r="AA58" s="13">
        <f t="shared" si="6"/>
        <v>0</v>
      </c>
      <c r="AB58" s="11" t="str">
        <f t="shared" si="7"/>
        <v/>
      </c>
      <c r="AC58" s="11">
        <v>0</v>
      </c>
      <c r="AD58" s="11">
        <v>0</v>
      </c>
      <c r="AE58" s="11" t="str">
        <f t="shared" si="8"/>
        <v/>
      </c>
      <c r="AF58" s="11">
        <v>0</v>
      </c>
      <c r="AG58" s="11">
        <v>0</v>
      </c>
      <c r="AH58" s="11" t="str">
        <f t="shared" si="9"/>
        <v/>
      </c>
      <c r="AI58" s="32" t="s">
        <v>1347</v>
      </c>
      <c r="AJ58" s="33">
        <f t="shared" si="10"/>
        <v>3</v>
      </c>
      <c r="AK58" s="34">
        <f t="shared" si="11"/>
        <v>9</v>
      </c>
      <c r="AL58" s="32">
        <f t="shared" si="12"/>
        <v>3</v>
      </c>
      <c r="AM58" s="32">
        <f t="shared" si="13"/>
        <v>3</v>
      </c>
      <c r="AN58" s="32">
        <f t="shared" si="14"/>
        <v>3</v>
      </c>
      <c r="AO58" s="32">
        <f t="shared" si="15"/>
        <v>3</v>
      </c>
      <c r="AP58" s="32">
        <f t="shared" si="16"/>
        <v>3</v>
      </c>
      <c r="AQ58" s="15">
        <f t="shared" si="17"/>
        <v>0</v>
      </c>
    </row>
    <row r="59" spans="1:43" ht="34" x14ac:dyDescent="0.2">
      <c r="A59" s="7">
        <v>58</v>
      </c>
      <c r="B59" s="8" t="s">
        <v>164</v>
      </c>
      <c r="C59" s="8" t="s">
        <v>165</v>
      </c>
      <c r="D59" s="8" t="s">
        <v>34</v>
      </c>
      <c r="E59" s="16" t="s">
        <v>39</v>
      </c>
      <c r="F59" s="8" t="s">
        <v>36</v>
      </c>
      <c r="G59" s="7">
        <v>520982</v>
      </c>
      <c r="H59" s="9">
        <v>43190</v>
      </c>
      <c r="I59" s="10">
        <f t="shared" si="0"/>
        <v>8</v>
      </c>
      <c r="J59" s="10">
        <v>-57982</v>
      </c>
      <c r="K59" s="10">
        <v>3757</v>
      </c>
      <c r="L59" s="10">
        <v>-25697</v>
      </c>
      <c r="M59" s="10">
        <f t="shared" si="1"/>
        <v>1252.3333333333333</v>
      </c>
      <c r="N59" s="10">
        <v>25898724</v>
      </c>
      <c r="O59" s="10">
        <v>30812246</v>
      </c>
      <c r="P59" s="10">
        <v>32454469</v>
      </c>
      <c r="Q59" s="10">
        <f t="shared" si="2"/>
        <v>29721813</v>
      </c>
      <c r="R59" s="11">
        <f t="shared" si="3"/>
        <v>3.0980665902079987</v>
      </c>
      <c r="S59" s="11">
        <f t="shared" si="4"/>
        <v>7.4730753120248981</v>
      </c>
      <c r="T59" s="7"/>
      <c r="U59" s="7"/>
      <c r="V59" s="7"/>
      <c r="W59" s="13">
        <f t="shared" si="5"/>
        <v>0</v>
      </c>
      <c r="X59" s="7" t="s">
        <v>47</v>
      </c>
      <c r="Y59" s="7" t="s">
        <v>48</v>
      </c>
      <c r="Z59" s="7" t="s">
        <v>85</v>
      </c>
      <c r="AA59" s="13">
        <f t="shared" si="6"/>
        <v>0</v>
      </c>
      <c r="AB59" s="11" t="str">
        <f t="shared" si="7"/>
        <v/>
      </c>
      <c r="AC59" s="11">
        <v>0</v>
      </c>
      <c r="AD59" s="11">
        <v>0</v>
      </c>
      <c r="AE59" s="11" t="str">
        <f t="shared" si="8"/>
        <v/>
      </c>
      <c r="AF59" s="11">
        <v>0</v>
      </c>
      <c r="AG59" s="11">
        <v>0</v>
      </c>
      <c r="AH59" s="11" t="str">
        <f t="shared" si="9"/>
        <v/>
      </c>
      <c r="AI59" s="32" t="s">
        <v>1347</v>
      </c>
      <c r="AJ59" s="33">
        <f t="shared" si="10"/>
        <v>3</v>
      </c>
      <c r="AK59" s="34">
        <f t="shared" si="11"/>
        <v>5</v>
      </c>
      <c r="AL59" s="32">
        <f t="shared" si="12"/>
        <v>3</v>
      </c>
      <c r="AM59" s="32">
        <f t="shared" si="13"/>
        <v>7</v>
      </c>
      <c r="AN59" s="32">
        <f t="shared" si="14"/>
        <v>3</v>
      </c>
      <c r="AO59" s="32">
        <f t="shared" si="15"/>
        <v>3</v>
      </c>
      <c r="AP59" s="32">
        <f t="shared" si="16"/>
        <v>3</v>
      </c>
      <c r="AQ59" s="15">
        <f t="shared" si="17"/>
        <v>0</v>
      </c>
    </row>
    <row r="60" spans="1:43" ht="68" x14ac:dyDescent="0.2">
      <c r="A60" s="7">
        <v>59</v>
      </c>
      <c r="B60" s="8" t="s">
        <v>166</v>
      </c>
      <c r="C60" s="8" t="s">
        <v>167</v>
      </c>
      <c r="D60" s="8" t="s">
        <v>34</v>
      </c>
      <c r="E60" s="16" t="s">
        <v>39</v>
      </c>
      <c r="F60" s="8" t="s">
        <v>36</v>
      </c>
      <c r="G60" s="15">
        <v>870986</v>
      </c>
      <c r="H60" s="9">
        <v>45016</v>
      </c>
      <c r="I60" s="10">
        <f t="shared" si="0"/>
        <v>3</v>
      </c>
      <c r="J60" s="10">
        <v>-1000</v>
      </c>
      <c r="K60" s="10">
        <v>-111966</v>
      </c>
      <c r="L60" s="10">
        <v>-78822</v>
      </c>
      <c r="M60" s="10">
        <f t="shared" si="1"/>
        <v>0</v>
      </c>
      <c r="N60" s="10">
        <v>38539071</v>
      </c>
      <c r="O60" s="10">
        <v>42369571</v>
      </c>
      <c r="P60" s="10">
        <v>42828139</v>
      </c>
      <c r="Q60" s="10">
        <f t="shared" si="2"/>
        <v>41245593.666666664</v>
      </c>
      <c r="R60" s="11" t="str">
        <f t="shared" si="3"/>
        <v/>
      </c>
      <c r="S60" s="11">
        <f t="shared" si="4"/>
        <v>7.6153775695131793</v>
      </c>
      <c r="T60" s="7"/>
      <c r="U60" s="7">
        <v>1</v>
      </c>
      <c r="V60" s="7"/>
      <c r="W60" s="13">
        <f t="shared" si="5"/>
        <v>1</v>
      </c>
      <c r="X60" s="7" t="s">
        <v>41</v>
      </c>
      <c r="Y60" s="7" t="s">
        <v>59</v>
      </c>
      <c r="Z60" s="7" t="s">
        <v>59</v>
      </c>
      <c r="AA60" s="13">
        <f t="shared" si="6"/>
        <v>0</v>
      </c>
      <c r="AB60" s="11" t="str">
        <f t="shared" si="7"/>
        <v/>
      </c>
      <c r="AC60" s="11">
        <v>0</v>
      </c>
      <c r="AD60" s="11">
        <v>0</v>
      </c>
      <c r="AE60" s="11" t="str">
        <f t="shared" si="8"/>
        <v/>
      </c>
      <c r="AF60" s="11">
        <v>0</v>
      </c>
      <c r="AG60" s="11">
        <v>0</v>
      </c>
      <c r="AH60" s="11" t="str">
        <f t="shared" si="9"/>
        <v/>
      </c>
      <c r="AI60" s="32" t="s">
        <v>1346</v>
      </c>
      <c r="AJ60" s="33">
        <f t="shared" si="10"/>
        <v>3</v>
      </c>
      <c r="AK60" s="34">
        <f t="shared" si="11"/>
        <v>7</v>
      </c>
      <c r="AL60" s="32">
        <f t="shared" si="12"/>
        <v>5</v>
      </c>
      <c r="AM60" s="32">
        <f t="shared" si="13"/>
        <v>3</v>
      </c>
      <c r="AN60" s="32">
        <f t="shared" si="14"/>
        <v>3</v>
      </c>
      <c r="AO60" s="32">
        <f t="shared" si="15"/>
        <v>3</v>
      </c>
      <c r="AP60" s="32">
        <f t="shared" si="16"/>
        <v>3</v>
      </c>
      <c r="AQ60" s="15">
        <f t="shared" si="17"/>
        <v>9</v>
      </c>
    </row>
    <row r="61" spans="1:43" ht="68" x14ac:dyDescent="0.2">
      <c r="A61" s="7">
        <v>60</v>
      </c>
      <c r="B61" s="8" t="s">
        <v>168</v>
      </c>
      <c r="C61" s="8" t="s">
        <v>169</v>
      </c>
      <c r="D61" s="8" t="s">
        <v>34</v>
      </c>
      <c r="E61" s="16" t="s">
        <v>39</v>
      </c>
      <c r="F61" s="8" t="s">
        <v>36</v>
      </c>
      <c r="G61" s="8" t="s">
        <v>170</v>
      </c>
      <c r="H61" s="9">
        <v>45747</v>
      </c>
      <c r="I61" s="10">
        <f t="shared" si="0"/>
        <v>1</v>
      </c>
      <c r="J61" s="10" t="s">
        <v>40</v>
      </c>
      <c r="K61" s="10" t="s">
        <v>40</v>
      </c>
      <c r="L61" s="10" t="s">
        <v>40</v>
      </c>
      <c r="M61" s="10">
        <f t="shared" si="1"/>
        <v>0</v>
      </c>
      <c r="N61" s="10">
        <v>33135895</v>
      </c>
      <c r="O61" s="10">
        <v>37243464</v>
      </c>
      <c r="P61" s="10" t="s">
        <v>44</v>
      </c>
      <c r="Q61" s="10">
        <f t="shared" si="2"/>
        <v>35189679.5</v>
      </c>
      <c r="R61" s="11" t="str">
        <f t="shared" si="3"/>
        <v/>
      </c>
      <c r="S61" s="11">
        <f t="shared" si="4"/>
        <v>7.5464153237343998</v>
      </c>
      <c r="T61" s="7"/>
      <c r="U61" s="7"/>
      <c r="V61" s="7"/>
      <c r="W61" s="13">
        <f t="shared" si="5"/>
        <v>0</v>
      </c>
      <c r="X61" s="7" t="s">
        <v>41</v>
      </c>
      <c r="Y61" s="7" t="s">
        <v>59</v>
      </c>
      <c r="Z61" s="7" t="s">
        <v>59</v>
      </c>
      <c r="AA61" s="13">
        <f t="shared" si="6"/>
        <v>0</v>
      </c>
      <c r="AB61" s="11" t="str">
        <f t="shared" si="7"/>
        <v/>
      </c>
      <c r="AC61" s="11">
        <v>0</v>
      </c>
      <c r="AD61" s="11">
        <v>0</v>
      </c>
      <c r="AE61" s="11" t="str">
        <f t="shared" si="8"/>
        <v/>
      </c>
      <c r="AF61" s="11">
        <v>0</v>
      </c>
      <c r="AG61" s="11">
        <v>0</v>
      </c>
      <c r="AH61" s="11" t="str">
        <f t="shared" si="9"/>
        <v/>
      </c>
      <c r="AI61" s="32" t="s">
        <v>1347</v>
      </c>
      <c r="AJ61" s="33">
        <f t="shared" si="10"/>
        <v>3</v>
      </c>
      <c r="AK61" s="34">
        <f t="shared" si="11"/>
        <v>5</v>
      </c>
      <c r="AL61" s="32">
        <f t="shared" si="12"/>
        <v>3</v>
      </c>
      <c r="AM61" s="32">
        <f t="shared" si="13"/>
        <v>3</v>
      </c>
      <c r="AN61" s="32">
        <f t="shared" si="14"/>
        <v>3</v>
      </c>
      <c r="AO61" s="32">
        <f t="shared" si="15"/>
        <v>3</v>
      </c>
      <c r="AP61" s="32">
        <f t="shared" si="16"/>
        <v>3</v>
      </c>
      <c r="AQ61" s="15">
        <f t="shared" si="17"/>
        <v>0</v>
      </c>
    </row>
    <row r="62" spans="1:43" ht="68" x14ac:dyDescent="0.2">
      <c r="A62" s="7">
        <v>61</v>
      </c>
      <c r="B62" s="8" t="s">
        <v>171</v>
      </c>
      <c r="C62" s="8" t="s">
        <v>172</v>
      </c>
      <c r="D62" s="8" t="s">
        <v>34</v>
      </c>
      <c r="E62" s="16" t="s">
        <v>39</v>
      </c>
      <c r="F62" s="8" t="s">
        <v>36</v>
      </c>
      <c r="G62" s="8">
        <v>810981</v>
      </c>
      <c r="H62" s="9">
        <v>42825</v>
      </c>
      <c r="I62" s="10">
        <f t="shared" si="0"/>
        <v>9</v>
      </c>
      <c r="J62" s="10">
        <v>0</v>
      </c>
      <c r="K62" s="10">
        <v>27265</v>
      </c>
      <c r="L62" s="10">
        <v>0</v>
      </c>
      <c r="M62" s="10">
        <f t="shared" si="1"/>
        <v>9088.3333333333339</v>
      </c>
      <c r="N62" s="10">
        <v>32552510</v>
      </c>
      <c r="O62" s="10">
        <v>42126598</v>
      </c>
      <c r="P62" s="10">
        <v>43549194</v>
      </c>
      <c r="Q62" s="10">
        <f t="shared" si="2"/>
        <v>39409434</v>
      </c>
      <c r="R62" s="11">
        <f t="shared" si="3"/>
        <v>3.9585320306067562</v>
      </c>
      <c r="S62" s="11">
        <f t="shared" si="4"/>
        <v>7.5956002085742762</v>
      </c>
      <c r="T62" s="7"/>
      <c r="U62" s="7"/>
      <c r="V62" s="7"/>
      <c r="W62" s="13">
        <f t="shared" si="5"/>
        <v>0</v>
      </c>
      <c r="X62" s="7" t="s">
        <v>41</v>
      </c>
      <c r="Y62" s="7" t="s">
        <v>59</v>
      </c>
      <c r="Z62" s="7" t="s">
        <v>59</v>
      </c>
      <c r="AA62" s="13">
        <f t="shared" si="6"/>
        <v>0</v>
      </c>
      <c r="AB62" s="11" t="str">
        <f t="shared" si="7"/>
        <v/>
      </c>
      <c r="AC62" s="11">
        <v>0</v>
      </c>
      <c r="AD62" s="11">
        <v>0</v>
      </c>
      <c r="AE62" s="11" t="str">
        <f t="shared" si="8"/>
        <v/>
      </c>
      <c r="AF62" s="11">
        <v>0</v>
      </c>
      <c r="AG62" s="11">
        <v>0</v>
      </c>
      <c r="AH62" s="11" t="str">
        <f t="shared" si="9"/>
        <v/>
      </c>
      <c r="AI62" s="32" t="s">
        <v>1347</v>
      </c>
      <c r="AJ62" s="33">
        <f t="shared" si="10"/>
        <v>3</v>
      </c>
      <c r="AK62" s="34">
        <f t="shared" si="11"/>
        <v>7</v>
      </c>
      <c r="AL62" s="32">
        <f t="shared" si="12"/>
        <v>3</v>
      </c>
      <c r="AM62" s="32">
        <f t="shared" si="13"/>
        <v>7</v>
      </c>
      <c r="AN62" s="32">
        <f t="shared" si="14"/>
        <v>3</v>
      </c>
      <c r="AO62" s="32">
        <f t="shared" si="15"/>
        <v>3</v>
      </c>
      <c r="AP62" s="32">
        <f t="shared" si="16"/>
        <v>3</v>
      </c>
      <c r="AQ62" s="15">
        <f t="shared" si="17"/>
        <v>0</v>
      </c>
    </row>
    <row r="63" spans="1:43" ht="34" x14ac:dyDescent="0.2">
      <c r="A63" s="7">
        <v>62</v>
      </c>
      <c r="B63" s="8" t="s">
        <v>173</v>
      </c>
      <c r="C63" s="8" t="s">
        <v>174</v>
      </c>
      <c r="D63" s="8" t="s">
        <v>34</v>
      </c>
      <c r="E63" s="16" t="s">
        <v>39</v>
      </c>
      <c r="F63" s="8" t="s">
        <v>36</v>
      </c>
      <c r="G63" s="7">
        <v>0</v>
      </c>
      <c r="H63" s="9">
        <v>42825</v>
      </c>
      <c r="I63" s="10">
        <f t="shared" si="0"/>
        <v>9</v>
      </c>
      <c r="J63" s="10" t="s">
        <v>40</v>
      </c>
      <c r="K63" s="10" t="s">
        <v>40</v>
      </c>
      <c r="L63" s="10" t="s">
        <v>40</v>
      </c>
      <c r="M63" s="10">
        <f t="shared" si="1"/>
        <v>0</v>
      </c>
      <c r="N63" s="10" t="s">
        <v>40</v>
      </c>
      <c r="O63" s="10" t="s">
        <v>40</v>
      </c>
      <c r="P63" s="10" t="s">
        <v>40</v>
      </c>
      <c r="Q63" s="10">
        <f t="shared" si="2"/>
        <v>0</v>
      </c>
      <c r="R63" s="11" t="str">
        <f t="shared" si="3"/>
        <v/>
      </c>
      <c r="S63" s="11" t="str">
        <f t="shared" si="4"/>
        <v/>
      </c>
      <c r="T63" s="7"/>
      <c r="U63" s="7"/>
      <c r="V63" s="7"/>
      <c r="W63" s="13">
        <f t="shared" si="5"/>
        <v>0</v>
      </c>
      <c r="X63" s="7" t="s">
        <v>41</v>
      </c>
      <c r="Y63" s="7" t="s">
        <v>59</v>
      </c>
      <c r="Z63" s="7" t="s">
        <v>59</v>
      </c>
      <c r="AA63" s="13">
        <f t="shared" si="6"/>
        <v>0</v>
      </c>
      <c r="AB63" s="11" t="str">
        <f t="shared" si="7"/>
        <v/>
      </c>
      <c r="AC63" s="11">
        <v>0</v>
      </c>
      <c r="AD63" s="11">
        <v>0</v>
      </c>
      <c r="AE63" s="11" t="str">
        <f t="shared" si="8"/>
        <v/>
      </c>
      <c r="AF63" s="11">
        <v>0</v>
      </c>
      <c r="AG63" s="11">
        <v>0</v>
      </c>
      <c r="AH63" s="11" t="str">
        <f t="shared" si="9"/>
        <v/>
      </c>
      <c r="AI63" s="32" t="s">
        <v>1347</v>
      </c>
      <c r="AJ63" s="33">
        <f t="shared" si="10"/>
        <v>3</v>
      </c>
      <c r="AK63" s="34">
        <f t="shared" si="11"/>
        <v>3</v>
      </c>
      <c r="AL63" s="32">
        <f t="shared" si="12"/>
        <v>3</v>
      </c>
      <c r="AM63" s="32">
        <f t="shared" si="13"/>
        <v>7</v>
      </c>
      <c r="AN63" s="32">
        <f t="shared" si="14"/>
        <v>3</v>
      </c>
      <c r="AO63" s="32">
        <f t="shared" si="15"/>
        <v>3</v>
      </c>
      <c r="AP63" s="32">
        <f t="shared" si="16"/>
        <v>3</v>
      </c>
      <c r="AQ63" s="15">
        <f t="shared" si="17"/>
        <v>0</v>
      </c>
    </row>
    <row r="64" spans="1:43" ht="34" x14ac:dyDescent="0.2">
      <c r="A64" s="7">
        <v>63</v>
      </c>
      <c r="B64" s="8" t="s">
        <v>175</v>
      </c>
      <c r="C64" s="8" t="s">
        <v>176</v>
      </c>
      <c r="D64" s="8" t="s">
        <v>34</v>
      </c>
      <c r="E64" s="16" t="s">
        <v>39</v>
      </c>
      <c r="F64" s="8" t="s">
        <v>36</v>
      </c>
      <c r="G64" s="7">
        <v>620981</v>
      </c>
      <c r="H64" s="9">
        <v>43190</v>
      </c>
      <c r="I64" s="10">
        <f t="shared" si="0"/>
        <v>8</v>
      </c>
      <c r="J64" s="10">
        <v>-47607</v>
      </c>
      <c r="K64" s="10">
        <v>-43160</v>
      </c>
      <c r="L64" s="10">
        <v>20347</v>
      </c>
      <c r="M64" s="10">
        <f t="shared" si="1"/>
        <v>6782.333333333333</v>
      </c>
      <c r="N64" s="10">
        <v>42198867</v>
      </c>
      <c r="O64" s="10">
        <v>41769894</v>
      </c>
      <c r="P64" s="10">
        <v>50185296</v>
      </c>
      <c r="Q64" s="10">
        <f t="shared" si="2"/>
        <v>44718019</v>
      </c>
      <c r="R64" s="11">
        <f t="shared" si="3"/>
        <v>3.8314431588415765</v>
      </c>
      <c r="S64" s="11">
        <f t="shared" si="4"/>
        <v>7.6504825658508393</v>
      </c>
      <c r="T64" s="7"/>
      <c r="U64" s="7"/>
      <c r="V64" s="7"/>
      <c r="W64" s="13">
        <f t="shared" si="5"/>
        <v>0</v>
      </c>
      <c r="X64" s="7" t="s">
        <v>41</v>
      </c>
      <c r="Y64" s="7" t="s">
        <v>59</v>
      </c>
      <c r="Z64" s="7" t="s">
        <v>59</v>
      </c>
      <c r="AA64" s="13">
        <f t="shared" si="6"/>
        <v>0</v>
      </c>
      <c r="AB64" s="11" t="str">
        <f t="shared" si="7"/>
        <v/>
      </c>
      <c r="AC64" s="11">
        <v>0</v>
      </c>
      <c r="AD64" s="11">
        <v>0</v>
      </c>
      <c r="AE64" s="11" t="str">
        <f t="shared" si="8"/>
        <v/>
      </c>
      <c r="AF64" s="11">
        <v>0</v>
      </c>
      <c r="AG64" s="11">
        <v>0</v>
      </c>
      <c r="AH64" s="11" t="str">
        <f t="shared" si="9"/>
        <v/>
      </c>
      <c r="AI64" s="32" t="s">
        <v>1347</v>
      </c>
      <c r="AJ64" s="33">
        <f t="shared" si="10"/>
        <v>3</v>
      </c>
      <c r="AK64" s="34">
        <f t="shared" si="11"/>
        <v>7</v>
      </c>
      <c r="AL64" s="32">
        <f t="shared" si="12"/>
        <v>3</v>
      </c>
      <c r="AM64" s="32">
        <f t="shared" si="13"/>
        <v>7</v>
      </c>
      <c r="AN64" s="32">
        <f t="shared" si="14"/>
        <v>3</v>
      </c>
      <c r="AO64" s="32">
        <f t="shared" si="15"/>
        <v>3</v>
      </c>
      <c r="AP64" s="32">
        <f t="shared" si="16"/>
        <v>3</v>
      </c>
      <c r="AQ64" s="15">
        <f t="shared" si="17"/>
        <v>0</v>
      </c>
    </row>
    <row r="65" spans="1:43" ht="51" x14ac:dyDescent="0.2">
      <c r="A65" s="7">
        <v>64</v>
      </c>
      <c r="B65" s="8" t="s">
        <v>177</v>
      </c>
      <c r="C65" s="8" t="s">
        <v>178</v>
      </c>
      <c r="D65" s="8" t="s">
        <v>34</v>
      </c>
      <c r="E65" s="16" t="s">
        <v>39</v>
      </c>
      <c r="F65" s="8" t="s">
        <v>36</v>
      </c>
      <c r="G65" s="7">
        <v>530981</v>
      </c>
      <c r="H65" s="9">
        <v>45747</v>
      </c>
      <c r="I65" s="10">
        <f t="shared" si="0"/>
        <v>1</v>
      </c>
      <c r="J65" s="10">
        <v>85120</v>
      </c>
      <c r="K65" s="10">
        <v>3188034</v>
      </c>
      <c r="L65" s="10">
        <v>1438860</v>
      </c>
      <c r="M65" s="10">
        <f t="shared" si="1"/>
        <v>1570671.3333333333</v>
      </c>
      <c r="N65" s="10">
        <v>60473659</v>
      </c>
      <c r="O65" s="10">
        <v>68244064</v>
      </c>
      <c r="P65" s="10">
        <v>70691393</v>
      </c>
      <c r="Q65" s="10">
        <f t="shared" si="2"/>
        <v>66469705.333333336</v>
      </c>
      <c r="R65" s="11">
        <f t="shared" si="3"/>
        <v>6.1960855939084647</v>
      </c>
      <c r="S65" s="11">
        <f t="shared" si="4"/>
        <v>7.8226237600424637</v>
      </c>
      <c r="T65" s="7"/>
      <c r="U65" s="7"/>
      <c r="V65" s="7"/>
      <c r="W65" s="13">
        <f t="shared" si="5"/>
        <v>0</v>
      </c>
      <c r="X65" s="7" t="s">
        <v>41</v>
      </c>
      <c r="Y65" s="7" t="s">
        <v>59</v>
      </c>
      <c r="Z65" s="7" t="s">
        <v>59</v>
      </c>
      <c r="AA65" s="13">
        <f t="shared" si="6"/>
        <v>0</v>
      </c>
      <c r="AB65" s="11" t="str">
        <f t="shared" si="7"/>
        <v/>
      </c>
      <c r="AC65" s="11">
        <v>0</v>
      </c>
      <c r="AD65" s="11">
        <v>0</v>
      </c>
      <c r="AE65" s="11" t="str">
        <f t="shared" si="8"/>
        <v/>
      </c>
      <c r="AF65" s="11">
        <v>0</v>
      </c>
      <c r="AG65" s="11">
        <v>0</v>
      </c>
      <c r="AH65" s="11" t="str">
        <f t="shared" si="9"/>
        <v/>
      </c>
      <c r="AI65" s="32" t="s">
        <v>1347</v>
      </c>
      <c r="AJ65" s="33">
        <f t="shared" si="10"/>
        <v>9</v>
      </c>
      <c r="AK65" s="34">
        <f t="shared" si="11"/>
        <v>9</v>
      </c>
      <c r="AL65" s="32">
        <f t="shared" si="12"/>
        <v>3</v>
      </c>
      <c r="AM65" s="32">
        <f t="shared" si="13"/>
        <v>3</v>
      </c>
      <c r="AN65" s="32">
        <f t="shared" si="14"/>
        <v>3</v>
      </c>
      <c r="AO65" s="32">
        <f t="shared" si="15"/>
        <v>3</v>
      </c>
      <c r="AP65" s="32">
        <f t="shared" si="16"/>
        <v>3</v>
      </c>
      <c r="AQ65" s="15">
        <f t="shared" si="17"/>
        <v>0</v>
      </c>
    </row>
    <row r="66" spans="1:43" ht="34" x14ac:dyDescent="0.2">
      <c r="A66" s="7">
        <v>65</v>
      </c>
      <c r="B66" s="8" t="s">
        <v>179</v>
      </c>
      <c r="C66" s="8" t="s">
        <v>180</v>
      </c>
      <c r="D66" s="8" t="s">
        <v>34</v>
      </c>
      <c r="E66" s="16" t="s">
        <v>39</v>
      </c>
      <c r="F66" s="8" t="s">
        <v>36</v>
      </c>
      <c r="G66" s="7">
        <v>650981</v>
      </c>
      <c r="H66" s="9">
        <v>42825</v>
      </c>
      <c r="I66" s="10">
        <f t="shared" si="0"/>
        <v>9</v>
      </c>
      <c r="J66" s="10">
        <v>1200000</v>
      </c>
      <c r="K66" s="10">
        <v>420685</v>
      </c>
      <c r="L66" s="10">
        <v>455525</v>
      </c>
      <c r="M66" s="10">
        <f t="shared" si="1"/>
        <v>692070</v>
      </c>
      <c r="N66" s="10">
        <v>50420253</v>
      </c>
      <c r="O66" s="10">
        <v>55110405</v>
      </c>
      <c r="P66" s="10">
        <v>54797615</v>
      </c>
      <c r="Q66" s="10">
        <f t="shared" si="2"/>
        <v>53442757.666666664</v>
      </c>
      <c r="R66" s="11">
        <f t="shared" si="3"/>
        <v>5.8401506512869235</v>
      </c>
      <c r="S66" s="11">
        <f t="shared" si="4"/>
        <v>7.7278888679328421</v>
      </c>
      <c r="T66" s="7"/>
      <c r="U66" s="7"/>
      <c r="V66" s="7"/>
      <c r="W66" s="13">
        <f t="shared" si="5"/>
        <v>0</v>
      </c>
      <c r="X66" s="7" t="s">
        <v>41</v>
      </c>
      <c r="Y66" s="7" t="s">
        <v>59</v>
      </c>
      <c r="Z66" s="7" t="s">
        <v>59</v>
      </c>
      <c r="AA66" s="13">
        <f t="shared" si="6"/>
        <v>0</v>
      </c>
      <c r="AB66" s="11" t="str">
        <f t="shared" si="7"/>
        <v/>
      </c>
      <c r="AC66" s="11">
        <v>0</v>
      </c>
      <c r="AD66" s="11">
        <v>0</v>
      </c>
      <c r="AE66" s="11" t="str">
        <f t="shared" si="8"/>
        <v/>
      </c>
      <c r="AF66" s="11">
        <v>0</v>
      </c>
      <c r="AG66" s="11">
        <v>0</v>
      </c>
      <c r="AH66" s="11" t="str">
        <f t="shared" si="9"/>
        <v/>
      </c>
      <c r="AI66" s="32" t="s">
        <v>1346</v>
      </c>
      <c r="AJ66" s="33">
        <f t="shared" si="10"/>
        <v>5</v>
      </c>
      <c r="AK66" s="34">
        <f t="shared" si="11"/>
        <v>9</v>
      </c>
      <c r="AL66" s="32">
        <f t="shared" si="12"/>
        <v>3</v>
      </c>
      <c r="AM66" s="32">
        <f t="shared" si="13"/>
        <v>7</v>
      </c>
      <c r="AN66" s="32">
        <f t="shared" si="14"/>
        <v>3</v>
      </c>
      <c r="AO66" s="32">
        <f t="shared" si="15"/>
        <v>3</v>
      </c>
      <c r="AP66" s="32">
        <f t="shared" si="16"/>
        <v>3</v>
      </c>
      <c r="AQ66" s="15">
        <f t="shared" si="17"/>
        <v>9</v>
      </c>
    </row>
    <row r="67" spans="1:43" ht="34" x14ac:dyDescent="0.2">
      <c r="A67" s="7">
        <v>66</v>
      </c>
      <c r="B67" s="8" t="s">
        <v>181</v>
      </c>
      <c r="C67" s="8" t="s">
        <v>182</v>
      </c>
      <c r="D67" s="8" t="s">
        <v>34</v>
      </c>
      <c r="E67" s="16" t="s">
        <v>39</v>
      </c>
      <c r="F67" s="8" t="s">
        <v>36</v>
      </c>
      <c r="G67" s="7">
        <v>0</v>
      </c>
      <c r="H67" s="9">
        <v>41729</v>
      </c>
      <c r="I67" s="10">
        <f t="shared" ref="I67:I130" si="18">IFERROR(DATEDIF(H67, DATE(2026,3,31), "y"),H67)</f>
        <v>12</v>
      </c>
      <c r="J67" s="10" t="s">
        <v>40</v>
      </c>
      <c r="K67" s="10" t="s">
        <v>40</v>
      </c>
      <c r="L67" s="10" t="s">
        <v>40</v>
      </c>
      <c r="M67" s="10">
        <f t="shared" ref="M67:M105" si="19">IF(COUNT(J67:L67)=0, 0, SUMPRODUCT(--(J67:L67&gt;=0), J67:L67) / COUNT(J67:L67))</f>
        <v>0</v>
      </c>
      <c r="N67" s="10" t="s">
        <v>40</v>
      </c>
      <c r="O67" s="10" t="s">
        <v>40</v>
      </c>
      <c r="P67" s="10" t="s">
        <v>40</v>
      </c>
      <c r="Q67" s="10">
        <f t="shared" ref="Q67:Q105" si="20">IF(COUNT(N67:P67)=0, 0, SUMPRODUCT(--(N67:P67&gt;=0), N67:P67) / COUNT(N67:P67))</f>
        <v>0</v>
      </c>
      <c r="R67" s="11" t="str">
        <f t="shared" ref="R67:R105" si="21">IF(M67&gt;0,LOG10(M67+1),"")</f>
        <v/>
      </c>
      <c r="S67" s="11" t="str">
        <f t="shared" ref="S67:S130" si="22">IF(Q67&gt;0,LOG10(Q67+1),"")</f>
        <v/>
      </c>
      <c r="T67" s="7"/>
      <c r="U67" s="7"/>
      <c r="V67" s="7"/>
      <c r="W67" s="13">
        <f t="shared" ref="W67:W105" si="23">SUM(T67:V67)</f>
        <v>0</v>
      </c>
      <c r="X67" s="7" t="s">
        <v>41</v>
      </c>
      <c r="Y67" s="7" t="s">
        <v>59</v>
      </c>
      <c r="Z67" s="7" t="s">
        <v>59</v>
      </c>
      <c r="AA67" s="13">
        <f t="shared" ref="AA67:AA105" si="24">SUM(Y67:Z67)</f>
        <v>0</v>
      </c>
      <c r="AB67" s="11" t="str">
        <f t="shared" ref="AB67:AB130" si="25">IF(AA67&gt;0,LOG10(AA67+1),"")</f>
        <v/>
      </c>
      <c r="AC67" s="11">
        <v>0</v>
      </c>
      <c r="AD67" s="11">
        <v>0</v>
      </c>
      <c r="AE67" s="11" t="str">
        <f t="shared" ref="AE67:AE105" si="26">IF(PRODUCT(AC67*AD67)&gt;0,LOG10(PRODUCT(AC67*AD67)+1),"")</f>
        <v/>
      </c>
      <c r="AF67" s="11">
        <v>0</v>
      </c>
      <c r="AG67" s="11">
        <v>0</v>
      </c>
      <c r="AH67" s="11" t="str">
        <f t="shared" ref="AH67:AH105" si="27">IF(PRODUCT(AF67*AG67)&gt;0,LOG10(PRODUCT(AF67*AG67)+1),"")</f>
        <v/>
      </c>
      <c r="AI67" s="32" t="s">
        <v>1347</v>
      </c>
      <c r="AJ67" s="33">
        <f t="shared" ref="AJ67:AJ105" si="28">IF(R67=0,"3",
 IF(R67="",3,
 IF(R67&lt;=_xlfn.PERCENTILE.INC($R$2:$R$105,0.25),3,
 IF(R67&lt;=_xlfn.PERCENTILE.INC($R$2:$R$105,0.5),5,
 IF(R67&lt;=_xlfn.PERCENTILE.INC($R$2:$R$105,0.75),7,
 9)))))</f>
        <v>3</v>
      </c>
      <c r="AK67" s="34">
        <f t="shared" ref="AK67:AK105" si="29">IF(S67=0,"3",
 IF(S67="",3,
 IF(S67&lt;=_xlfn.PERCENTILE.INC($S$2:$S$105,0.25),3,
 IF(S67&lt;=_xlfn.PERCENTILE.INC($S$2:$S$105,0.5),5,
 IF(S67&lt;=_xlfn.PERCENTILE.INC($S$2:$S$105,0.75),7,
 9)))))</f>
        <v>3</v>
      </c>
      <c r="AL67" s="32">
        <f t="shared" ref="AL67:AL130" si="30">IF(W67&gt;=5,9,IF(W67 &gt;=3,7,IF(W67=0,3,5)))</f>
        <v>3</v>
      </c>
      <c r="AM67" s="32">
        <f t="shared" ref="AM67:AM130" si="31">IF(I67&lt;4,3,IF(I67&lt;6,5,IF(I67&lt;11,7,9)))</f>
        <v>9</v>
      </c>
      <c r="AN67" s="32">
        <f t="shared" ref="AN67:AN130" si="32">IF(AB67=0,"3",
 IF(AB67="",3,
 IF(AB67&lt;=_xlfn.PERCENTILE.INC($AB$2:$AB$105,0.25),3,
 IF(AB67&lt;=_xlfn.PERCENTILE.INC($AB$2:$AB$105,0.5),5,
 IF(AB67&lt;=_xlfn.PERCENTILE.INC($AB$2:$AB$105,0.75),7,
 9)))))</f>
        <v>3</v>
      </c>
      <c r="AO67" s="32">
        <f t="shared" ref="AO67:AO105" si="33">IF(AE67=0,"3",
 IF(AE67="",3,
 IF(AE67&lt;=_xlfn.PERCENTILE.INC($AE$2:$AE$105,0.25),3,
 IF(AE67&lt;=_xlfn.PERCENTILE.INC($AE$2:$AE$105,0.5),5,
 IF(AE67&lt;=_xlfn.PERCENTILE.INC($AE$2:$AE$105,0.75),7,
 9)))))</f>
        <v>3</v>
      </c>
      <c r="AP67" s="32">
        <f t="shared" ref="AP67:AP105" si="34">IF(AH67=0,"3",
 IF(AH67="",3,
 IF(AH67&lt;=_xlfn.PERCENTILE.INC($AH$2:$AH$105,0.25),3,
 IF(AH67&lt;=_xlfn.PERCENTILE.INC($AH$2:$AH$105,0.5),5,
 IF(AH67&lt;=_xlfn.PERCENTILE.INC($AH$2:$AH$105,0.75),7,
 9)))))</f>
        <v>3</v>
      </c>
      <c r="AQ67" s="15">
        <f t="shared" ref="AQ67:AQ105" si="35">IF(AI67="Yes", 9,0)</f>
        <v>0</v>
      </c>
    </row>
    <row r="68" spans="1:43" ht="34" x14ac:dyDescent="0.2">
      <c r="A68" s="7">
        <v>67</v>
      </c>
      <c r="B68" s="8" t="s">
        <v>183</v>
      </c>
      <c r="C68" s="8" t="s">
        <v>184</v>
      </c>
      <c r="D68" s="8" t="s">
        <v>34</v>
      </c>
      <c r="E68" s="16" t="s">
        <v>39</v>
      </c>
      <c r="F68" s="8" t="s">
        <v>36</v>
      </c>
      <c r="G68" s="7">
        <v>540982</v>
      </c>
      <c r="H68" s="9">
        <v>45747</v>
      </c>
      <c r="I68" s="10">
        <f t="shared" si="18"/>
        <v>1</v>
      </c>
      <c r="J68" s="10">
        <v>-8679</v>
      </c>
      <c r="K68" s="10">
        <v>-1006</v>
      </c>
      <c r="L68" s="10">
        <v>0</v>
      </c>
      <c r="M68" s="10">
        <f t="shared" si="19"/>
        <v>0</v>
      </c>
      <c r="N68" s="10">
        <v>24913485</v>
      </c>
      <c r="O68" s="10">
        <v>25555046</v>
      </c>
      <c r="P68" s="10">
        <v>23930113</v>
      </c>
      <c r="Q68" s="10">
        <f t="shared" si="20"/>
        <v>24799548</v>
      </c>
      <c r="R68" s="11" t="str">
        <f t="shared" si="21"/>
        <v/>
      </c>
      <c r="S68" s="11">
        <f t="shared" si="22"/>
        <v>7.3944437828991063</v>
      </c>
      <c r="T68" s="7"/>
      <c r="U68" s="7"/>
      <c r="V68" s="7"/>
      <c r="W68" s="13">
        <f t="shared" si="23"/>
        <v>0</v>
      </c>
      <c r="X68" s="7" t="s">
        <v>41</v>
      </c>
      <c r="Y68" s="7" t="s">
        <v>59</v>
      </c>
      <c r="Z68" s="7" t="s">
        <v>59</v>
      </c>
      <c r="AA68" s="13">
        <f t="shared" si="24"/>
        <v>0</v>
      </c>
      <c r="AB68" s="11" t="str">
        <f t="shared" si="25"/>
        <v/>
      </c>
      <c r="AC68" s="11">
        <v>0</v>
      </c>
      <c r="AD68" s="11">
        <v>0</v>
      </c>
      <c r="AE68" s="11" t="str">
        <f t="shared" si="26"/>
        <v/>
      </c>
      <c r="AF68" s="11">
        <v>0</v>
      </c>
      <c r="AG68" s="11">
        <v>0</v>
      </c>
      <c r="AH68" s="11" t="str">
        <f t="shared" si="27"/>
        <v/>
      </c>
      <c r="AI68" s="32" t="s">
        <v>1347</v>
      </c>
      <c r="AJ68" s="33">
        <f t="shared" si="28"/>
        <v>3</v>
      </c>
      <c r="AK68" s="34">
        <f t="shared" si="29"/>
        <v>5</v>
      </c>
      <c r="AL68" s="32">
        <f t="shared" si="30"/>
        <v>3</v>
      </c>
      <c r="AM68" s="32">
        <f t="shared" si="31"/>
        <v>3</v>
      </c>
      <c r="AN68" s="32">
        <f t="shared" si="32"/>
        <v>3</v>
      </c>
      <c r="AO68" s="32">
        <f t="shared" si="33"/>
        <v>3</v>
      </c>
      <c r="AP68" s="32">
        <f t="shared" si="34"/>
        <v>3</v>
      </c>
      <c r="AQ68" s="15">
        <f t="shared" si="35"/>
        <v>0</v>
      </c>
    </row>
    <row r="69" spans="1:43" ht="34" x14ac:dyDescent="0.2">
      <c r="A69" s="7">
        <v>68</v>
      </c>
      <c r="B69" s="8" t="s">
        <v>185</v>
      </c>
      <c r="C69" s="8" t="s">
        <v>186</v>
      </c>
      <c r="D69" s="8" t="s">
        <v>34</v>
      </c>
      <c r="E69" s="16" t="s">
        <v>39</v>
      </c>
      <c r="F69" s="8" t="s">
        <v>36</v>
      </c>
      <c r="G69" s="7">
        <v>770981</v>
      </c>
      <c r="H69" s="9">
        <v>45747</v>
      </c>
      <c r="I69" s="10">
        <f t="shared" si="18"/>
        <v>1</v>
      </c>
      <c r="J69" s="10">
        <v>-92214</v>
      </c>
      <c r="K69" s="10">
        <v>0</v>
      </c>
      <c r="L69" s="10">
        <v>0</v>
      </c>
      <c r="M69" s="10">
        <f t="shared" si="19"/>
        <v>0</v>
      </c>
      <c r="N69" s="10">
        <v>13377189</v>
      </c>
      <c r="O69" s="10">
        <v>10189075</v>
      </c>
      <c r="P69" s="10">
        <v>12560228</v>
      </c>
      <c r="Q69" s="10">
        <f t="shared" si="20"/>
        <v>12042164</v>
      </c>
      <c r="R69" s="11" t="str">
        <f t="shared" si="21"/>
        <v/>
      </c>
      <c r="S69" s="11">
        <f t="shared" si="22"/>
        <v>7.0807045735519614</v>
      </c>
      <c r="T69" s="7"/>
      <c r="U69" s="7"/>
      <c r="V69" s="7"/>
      <c r="W69" s="13">
        <f t="shared" si="23"/>
        <v>0</v>
      </c>
      <c r="X69" s="7" t="s">
        <v>41</v>
      </c>
      <c r="Y69" s="7" t="s">
        <v>59</v>
      </c>
      <c r="Z69" s="7" t="s">
        <v>59</v>
      </c>
      <c r="AA69" s="13">
        <f t="shared" si="24"/>
        <v>0</v>
      </c>
      <c r="AB69" s="11" t="str">
        <f t="shared" si="25"/>
        <v/>
      </c>
      <c r="AC69" s="11">
        <v>0</v>
      </c>
      <c r="AD69" s="11">
        <v>0</v>
      </c>
      <c r="AE69" s="11" t="str">
        <f t="shared" si="26"/>
        <v/>
      </c>
      <c r="AF69" s="11">
        <v>0</v>
      </c>
      <c r="AG69" s="11">
        <v>0</v>
      </c>
      <c r="AH69" s="11" t="str">
        <f t="shared" si="27"/>
        <v/>
      </c>
      <c r="AI69" s="32" t="s">
        <v>1347</v>
      </c>
      <c r="AJ69" s="33">
        <f t="shared" si="28"/>
        <v>3</v>
      </c>
      <c r="AK69" s="34">
        <f t="shared" si="29"/>
        <v>3</v>
      </c>
      <c r="AL69" s="32">
        <f t="shared" si="30"/>
        <v>3</v>
      </c>
      <c r="AM69" s="32">
        <f t="shared" si="31"/>
        <v>3</v>
      </c>
      <c r="AN69" s="32">
        <f t="shared" si="32"/>
        <v>3</v>
      </c>
      <c r="AO69" s="32">
        <f t="shared" si="33"/>
        <v>3</v>
      </c>
      <c r="AP69" s="32">
        <f t="shared" si="34"/>
        <v>3</v>
      </c>
      <c r="AQ69" s="15">
        <f t="shared" si="35"/>
        <v>0</v>
      </c>
    </row>
    <row r="70" spans="1:43" ht="34" x14ac:dyDescent="0.2">
      <c r="A70" s="7">
        <v>69</v>
      </c>
      <c r="B70" s="8" t="s">
        <v>187</v>
      </c>
      <c r="C70" s="8" t="s">
        <v>188</v>
      </c>
      <c r="D70" s="8" t="s">
        <v>34</v>
      </c>
      <c r="E70" s="16" t="s">
        <v>39</v>
      </c>
      <c r="F70" s="8" t="s">
        <v>36</v>
      </c>
      <c r="G70" s="7">
        <v>660987</v>
      </c>
      <c r="H70" s="9">
        <v>45747</v>
      </c>
      <c r="I70" s="10">
        <f t="shared" si="18"/>
        <v>1</v>
      </c>
      <c r="J70" s="10">
        <v>-1000</v>
      </c>
      <c r="K70" s="10">
        <v>800000</v>
      </c>
      <c r="L70" s="10">
        <v>3469225</v>
      </c>
      <c r="M70" s="10">
        <f t="shared" si="19"/>
        <v>1423075</v>
      </c>
      <c r="N70" s="10">
        <v>53037192</v>
      </c>
      <c r="O70" s="10">
        <v>60121778</v>
      </c>
      <c r="P70" s="10">
        <v>68281720</v>
      </c>
      <c r="Q70" s="10">
        <f t="shared" si="20"/>
        <v>60480230</v>
      </c>
      <c r="R70" s="11">
        <f t="shared" si="21"/>
        <v>6.1532280943915572</v>
      </c>
      <c r="S70" s="11">
        <f t="shared" si="22"/>
        <v>7.7816134412536284</v>
      </c>
      <c r="T70" s="7"/>
      <c r="U70" s="7"/>
      <c r="V70" s="7"/>
      <c r="W70" s="13">
        <f t="shared" si="23"/>
        <v>0</v>
      </c>
      <c r="X70" s="7" t="s">
        <v>41</v>
      </c>
      <c r="Y70" s="7" t="s">
        <v>59</v>
      </c>
      <c r="Z70" s="7" t="s">
        <v>59</v>
      </c>
      <c r="AA70" s="13">
        <f t="shared" si="24"/>
        <v>0</v>
      </c>
      <c r="AB70" s="11" t="str">
        <f t="shared" si="25"/>
        <v/>
      </c>
      <c r="AC70" s="11">
        <v>0</v>
      </c>
      <c r="AD70" s="11">
        <v>0</v>
      </c>
      <c r="AE70" s="11" t="str">
        <f t="shared" si="26"/>
        <v/>
      </c>
      <c r="AF70" s="11">
        <v>0</v>
      </c>
      <c r="AG70" s="11">
        <v>0</v>
      </c>
      <c r="AH70" s="11" t="str">
        <f t="shared" si="27"/>
        <v/>
      </c>
      <c r="AI70" s="32" t="s">
        <v>1347</v>
      </c>
      <c r="AJ70" s="33">
        <f t="shared" si="28"/>
        <v>9</v>
      </c>
      <c r="AK70" s="34">
        <f t="shared" si="29"/>
        <v>9</v>
      </c>
      <c r="AL70" s="32">
        <f t="shared" si="30"/>
        <v>3</v>
      </c>
      <c r="AM70" s="32">
        <f t="shared" si="31"/>
        <v>3</v>
      </c>
      <c r="AN70" s="32">
        <f t="shared" si="32"/>
        <v>3</v>
      </c>
      <c r="AO70" s="32">
        <f t="shared" si="33"/>
        <v>3</v>
      </c>
      <c r="AP70" s="32">
        <f t="shared" si="34"/>
        <v>3</v>
      </c>
      <c r="AQ70" s="15">
        <f t="shared" si="35"/>
        <v>0</v>
      </c>
    </row>
    <row r="71" spans="1:43" ht="51" x14ac:dyDescent="0.2">
      <c r="A71" s="7">
        <v>70</v>
      </c>
      <c r="B71" s="8" t="s">
        <v>189</v>
      </c>
      <c r="C71" s="8" t="s">
        <v>190</v>
      </c>
      <c r="D71" s="8" t="s">
        <v>34</v>
      </c>
      <c r="E71" s="16" t="s">
        <v>39</v>
      </c>
      <c r="F71" s="8" t="s">
        <v>36</v>
      </c>
      <c r="G71" s="7">
        <v>740986</v>
      </c>
      <c r="H71" s="9">
        <v>41364</v>
      </c>
      <c r="I71" s="10">
        <f t="shared" si="18"/>
        <v>13</v>
      </c>
      <c r="J71" s="10" t="s">
        <v>40</v>
      </c>
      <c r="K71" s="10" t="s">
        <v>40</v>
      </c>
      <c r="L71" s="10" t="s">
        <v>40</v>
      </c>
      <c r="M71" s="10">
        <f t="shared" si="19"/>
        <v>0</v>
      </c>
      <c r="N71" s="10">
        <v>0</v>
      </c>
      <c r="O71" s="10">
        <v>0</v>
      </c>
      <c r="P71" s="10" t="s">
        <v>44</v>
      </c>
      <c r="Q71" s="10">
        <f t="shared" si="20"/>
        <v>0</v>
      </c>
      <c r="R71" s="11" t="str">
        <f t="shared" si="21"/>
        <v/>
      </c>
      <c r="S71" s="11" t="str">
        <f t="shared" si="22"/>
        <v/>
      </c>
      <c r="T71" s="7"/>
      <c r="U71" s="7"/>
      <c r="V71" s="7"/>
      <c r="W71" s="13">
        <f t="shared" si="23"/>
        <v>0</v>
      </c>
      <c r="X71" s="7" t="s">
        <v>41</v>
      </c>
      <c r="Y71" s="7" t="s">
        <v>59</v>
      </c>
      <c r="Z71" s="7" t="s">
        <v>59</v>
      </c>
      <c r="AA71" s="13">
        <f t="shared" si="24"/>
        <v>0</v>
      </c>
      <c r="AB71" s="11" t="str">
        <f t="shared" si="25"/>
        <v/>
      </c>
      <c r="AC71" s="11">
        <v>0</v>
      </c>
      <c r="AD71" s="11">
        <v>0</v>
      </c>
      <c r="AE71" s="11" t="str">
        <f t="shared" si="26"/>
        <v/>
      </c>
      <c r="AF71" s="11">
        <v>0</v>
      </c>
      <c r="AG71" s="11">
        <v>0</v>
      </c>
      <c r="AH71" s="11" t="str">
        <f t="shared" si="27"/>
        <v/>
      </c>
      <c r="AI71" s="32" t="s">
        <v>1347</v>
      </c>
      <c r="AJ71" s="33">
        <f t="shared" si="28"/>
        <v>3</v>
      </c>
      <c r="AK71" s="34">
        <f t="shared" si="29"/>
        <v>3</v>
      </c>
      <c r="AL71" s="32">
        <f t="shared" si="30"/>
        <v>3</v>
      </c>
      <c r="AM71" s="32">
        <f t="shared" si="31"/>
        <v>9</v>
      </c>
      <c r="AN71" s="32">
        <f t="shared" si="32"/>
        <v>3</v>
      </c>
      <c r="AO71" s="32">
        <f t="shared" si="33"/>
        <v>3</v>
      </c>
      <c r="AP71" s="32">
        <f t="shared" si="34"/>
        <v>3</v>
      </c>
      <c r="AQ71" s="15">
        <f t="shared" si="35"/>
        <v>0</v>
      </c>
    </row>
    <row r="72" spans="1:43" ht="34" x14ac:dyDescent="0.2">
      <c r="A72" s="7">
        <v>71</v>
      </c>
      <c r="B72" s="8" t="s">
        <v>191</v>
      </c>
      <c r="C72" s="8" t="s">
        <v>192</v>
      </c>
      <c r="D72" s="8" t="s">
        <v>34</v>
      </c>
      <c r="E72" s="16" t="s">
        <v>39</v>
      </c>
      <c r="F72" s="8" t="s">
        <v>36</v>
      </c>
      <c r="G72" s="7">
        <v>690981</v>
      </c>
      <c r="H72" s="9">
        <v>45747</v>
      </c>
      <c r="I72" s="10">
        <f t="shared" si="18"/>
        <v>1</v>
      </c>
      <c r="J72" s="10">
        <v>0</v>
      </c>
      <c r="K72" s="10">
        <v>0</v>
      </c>
      <c r="L72" s="10">
        <v>-335</v>
      </c>
      <c r="M72" s="10">
        <f t="shared" si="19"/>
        <v>0</v>
      </c>
      <c r="N72" s="10">
        <v>7075589</v>
      </c>
      <c r="O72" s="10">
        <v>7040265</v>
      </c>
      <c r="P72" s="10">
        <v>8487115</v>
      </c>
      <c r="Q72" s="10">
        <f t="shared" si="20"/>
        <v>7534323</v>
      </c>
      <c r="R72" s="11" t="str">
        <f t="shared" si="21"/>
        <v/>
      </c>
      <c r="S72" s="11">
        <f t="shared" si="22"/>
        <v>6.8770442923188781</v>
      </c>
      <c r="T72" s="7"/>
      <c r="U72" s="7"/>
      <c r="V72" s="7"/>
      <c r="W72" s="13">
        <f t="shared" si="23"/>
        <v>0</v>
      </c>
      <c r="X72" s="7" t="s">
        <v>41</v>
      </c>
      <c r="Y72" s="7" t="s">
        <v>59</v>
      </c>
      <c r="Z72" s="7" t="s">
        <v>59</v>
      </c>
      <c r="AA72" s="13">
        <f t="shared" si="24"/>
        <v>0</v>
      </c>
      <c r="AB72" s="11" t="str">
        <f t="shared" si="25"/>
        <v/>
      </c>
      <c r="AC72" s="11">
        <v>0</v>
      </c>
      <c r="AD72" s="11">
        <v>0</v>
      </c>
      <c r="AE72" s="11" t="str">
        <f t="shared" si="26"/>
        <v/>
      </c>
      <c r="AF72" s="11">
        <v>0</v>
      </c>
      <c r="AG72" s="11">
        <v>0</v>
      </c>
      <c r="AH72" s="11" t="str">
        <f t="shared" si="27"/>
        <v/>
      </c>
      <c r="AI72" s="32" t="s">
        <v>1347</v>
      </c>
      <c r="AJ72" s="33">
        <f t="shared" si="28"/>
        <v>3</v>
      </c>
      <c r="AK72" s="34">
        <f t="shared" si="29"/>
        <v>3</v>
      </c>
      <c r="AL72" s="32">
        <f t="shared" si="30"/>
        <v>3</v>
      </c>
      <c r="AM72" s="32">
        <f t="shared" si="31"/>
        <v>3</v>
      </c>
      <c r="AN72" s="32">
        <f t="shared" si="32"/>
        <v>3</v>
      </c>
      <c r="AO72" s="32">
        <f t="shared" si="33"/>
        <v>3</v>
      </c>
      <c r="AP72" s="32">
        <f t="shared" si="34"/>
        <v>3</v>
      </c>
      <c r="AQ72" s="15">
        <f t="shared" si="35"/>
        <v>0</v>
      </c>
    </row>
    <row r="73" spans="1:43" ht="34" x14ac:dyDescent="0.2">
      <c r="A73" s="7">
        <v>72</v>
      </c>
      <c r="B73" s="8" t="s">
        <v>193</v>
      </c>
      <c r="C73" s="8" t="s">
        <v>194</v>
      </c>
      <c r="D73" s="8" t="s">
        <v>34</v>
      </c>
      <c r="E73" s="16" t="s">
        <v>39</v>
      </c>
      <c r="F73" s="8" t="s">
        <v>36</v>
      </c>
      <c r="G73" s="7">
        <v>630981</v>
      </c>
      <c r="H73" s="9">
        <v>45016</v>
      </c>
      <c r="I73" s="10">
        <f t="shared" si="18"/>
        <v>3</v>
      </c>
      <c r="J73" s="10">
        <v>2200000</v>
      </c>
      <c r="K73" s="10">
        <v>0</v>
      </c>
      <c r="L73" s="10">
        <v>2800000</v>
      </c>
      <c r="M73" s="10">
        <f t="shared" si="19"/>
        <v>1666666.6666666667</v>
      </c>
      <c r="N73" s="10">
        <v>59642018</v>
      </c>
      <c r="O73" s="10">
        <v>61556328</v>
      </c>
      <c r="P73" s="10">
        <v>75179336</v>
      </c>
      <c r="Q73" s="10">
        <f t="shared" si="20"/>
        <v>65459227.333333336</v>
      </c>
      <c r="R73" s="11">
        <f t="shared" si="21"/>
        <v>6.2218490101929671</v>
      </c>
      <c r="S73" s="11">
        <f t="shared" si="22"/>
        <v>7.8159708813179902</v>
      </c>
      <c r="T73" s="7"/>
      <c r="U73" s="7">
        <v>3</v>
      </c>
      <c r="V73" s="7"/>
      <c r="W73" s="13">
        <f t="shared" si="23"/>
        <v>3</v>
      </c>
      <c r="X73" s="7" t="s">
        <v>195</v>
      </c>
      <c r="Y73" s="7" t="s">
        <v>48</v>
      </c>
      <c r="Z73" s="7" t="s">
        <v>85</v>
      </c>
      <c r="AA73" s="13">
        <f t="shared" si="24"/>
        <v>0</v>
      </c>
      <c r="AB73" s="11" t="str">
        <f t="shared" si="25"/>
        <v/>
      </c>
      <c r="AC73" s="11">
        <v>0</v>
      </c>
      <c r="AD73" s="11">
        <v>0</v>
      </c>
      <c r="AE73" s="11" t="str">
        <f t="shared" si="26"/>
        <v/>
      </c>
      <c r="AF73" s="11">
        <v>0</v>
      </c>
      <c r="AG73" s="11">
        <v>0</v>
      </c>
      <c r="AH73" s="11" t="str">
        <f t="shared" si="27"/>
        <v/>
      </c>
      <c r="AI73" s="32" t="s">
        <v>1347</v>
      </c>
      <c r="AJ73" s="33">
        <f t="shared" si="28"/>
        <v>9</v>
      </c>
      <c r="AK73" s="34">
        <f t="shared" si="29"/>
        <v>9</v>
      </c>
      <c r="AL73" s="32">
        <f t="shared" si="30"/>
        <v>7</v>
      </c>
      <c r="AM73" s="32">
        <f t="shared" si="31"/>
        <v>3</v>
      </c>
      <c r="AN73" s="32">
        <f t="shared" si="32"/>
        <v>3</v>
      </c>
      <c r="AO73" s="32">
        <f t="shared" si="33"/>
        <v>3</v>
      </c>
      <c r="AP73" s="32">
        <f t="shared" si="34"/>
        <v>3</v>
      </c>
      <c r="AQ73" s="15">
        <f t="shared" si="35"/>
        <v>0</v>
      </c>
    </row>
    <row r="74" spans="1:43" ht="34" x14ac:dyDescent="0.2">
      <c r="A74" s="7">
        <v>73</v>
      </c>
      <c r="B74" s="8" t="s">
        <v>196</v>
      </c>
      <c r="C74" s="8" t="s">
        <v>197</v>
      </c>
      <c r="D74" s="8" t="s">
        <v>34</v>
      </c>
      <c r="E74" s="16" t="s">
        <v>39</v>
      </c>
      <c r="F74" s="8" t="s">
        <v>36</v>
      </c>
      <c r="G74" s="7">
        <v>720981</v>
      </c>
      <c r="H74" s="9">
        <v>45747</v>
      </c>
      <c r="I74" s="10">
        <f t="shared" si="18"/>
        <v>1</v>
      </c>
      <c r="J74" s="10" t="s">
        <v>40</v>
      </c>
      <c r="K74" s="10" t="s">
        <v>40</v>
      </c>
      <c r="L74" s="10" t="s">
        <v>40</v>
      </c>
      <c r="M74" s="10">
        <f t="shared" si="19"/>
        <v>0</v>
      </c>
      <c r="N74" s="10">
        <v>0</v>
      </c>
      <c r="O74" s="10">
        <v>0</v>
      </c>
      <c r="P74" s="10" t="s">
        <v>44</v>
      </c>
      <c r="Q74" s="10">
        <f t="shared" si="20"/>
        <v>0</v>
      </c>
      <c r="R74" s="11" t="str">
        <f t="shared" si="21"/>
        <v/>
      </c>
      <c r="S74" s="11" t="str">
        <f t="shared" si="22"/>
        <v/>
      </c>
      <c r="T74" s="7"/>
      <c r="U74" s="7"/>
      <c r="V74" s="7"/>
      <c r="W74" s="13">
        <f t="shared" si="23"/>
        <v>0</v>
      </c>
      <c r="X74" s="7" t="s">
        <v>41</v>
      </c>
      <c r="Y74" s="7" t="s">
        <v>59</v>
      </c>
      <c r="Z74" s="7" t="s">
        <v>59</v>
      </c>
      <c r="AA74" s="13">
        <f t="shared" si="24"/>
        <v>0</v>
      </c>
      <c r="AB74" s="11" t="str">
        <f t="shared" si="25"/>
        <v/>
      </c>
      <c r="AC74" s="11">
        <v>0</v>
      </c>
      <c r="AD74" s="11">
        <v>0</v>
      </c>
      <c r="AE74" s="11" t="str">
        <f t="shared" si="26"/>
        <v/>
      </c>
      <c r="AF74" s="11">
        <v>0</v>
      </c>
      <c r="AG74" s="11">
        <v>0</v>
      </c>
      <c r="AH74" s="11" t="str">
        <f t="shared" si="27"/>
        <v/>
      </c>
      <c r="AI74" s="32" t="s">
        <v>1347</v>
      </c>
      <c r="AJ74" s="33">
        <f t="shared" si="28"/>
        <v>3</v>
      </c>
      <c r="AK74" s="34">
        <f t="shared" si="29"/>
        <v>3</v>
      </c>
      <c r="AL74" s="32">
        <f t="shared" si="30"/>
        <v>3</v>
      </c>
      <c r="AM74" s="32">
        <f t="shared" si="31"/>
        <v>3</v>
      </c>
      <c r="AN74" s="32">
        <f t="shared" si="32"/>
        <v>3</v>
      </c>
      <c r="AO74" s="32">
        <f t="shared" si="33"/>
        <v>3</v>
      </c>
      <c r="AP74" s="32">
        <f t="shared" si="34"/>
        <v>3</v>
      </c>
      <c r="AQ74" s="15">
        <f t="shared" si="35"/>
        <v>0</v>
      </c>
    </row>
    <row r="75" spans="1:43" ht="34" x14ac:dyDescent="0.2">
      <c r="A75" s="7">
        <v>74</v>
      </c>
      <c r="B75" s="8" t="s">
        <v>198</v>
      </c>
      <c r="C75" s="8" t="s">
        <v>199</v>
      </c>
      <c r="D75" s="8" t="s">
        <v>34</v>
      </c>
      <c r="E75" s="16" t="s">
        <v>39</v>
      </c>
      <c r="F75" s="8" t="s">
        <v>36</v>
      </c>
      <c r="G75" s="7">
        <v>0</v>
      </c>
      <c r="H75" s="9" t="s">
        <v>44</v>
      </c>
      <c r="I75" s="10" t="str">
        <f t="shared" si="18"/>
        <v>NA</v>
      </c>
      <c r="J75" s="10" t="s">
        <v>40</v>
      </c>
      <c r="K75" s="10" t="s">
        <v>40</v>
      </c>
      <c r="L75" s="10" t="s">
        <v>40</v>
      </c>
      <c r="M75" s="10">
        <f t="shared" si="19"/>
        <v>0</v>
      </c>
      <c r="N75" s="10" t="s">
        <v>40</v>
      </c>
      <c r="O75" s="10" t="s">
        <v>40</v>
      </c>
      <c r="P75" s="10" t="s">
        <v>40</v>
      </c>
      <c r="Q75" s="10">
        <f t="shared" si="20"/>
        <v>0</v>
      </c>
      <c r="R75" s="11" t="str">
        <f t="shared" si="21"/>
        <v/>
      </c>
      <c r="S75" s="11" t="str">
        <f t="shared" si="22"/>
        <v/>
      </c>
      <c r="T75" s="7"/>
      <c r="U75" s="7"/>
      <c r="V75" s="7"/>
      <c r="W75" s="13">
        <f t="shared" si="23"/>
        <v>0</v>
      </c>
      <c r="X75" s="7" t="s">
        <v>41</v>
      </c>
      <c r="Y75" s="7" t="s">
        <v>59</v>
      </c>
      <c r="Z75" s="7" t="s">
        <v>59</v>
      </c>
      <c r="AA75" s="13">
        <f t="shared" si="24"/>
        <v>0</v>
      </c>
      <c r="AB75" s="11" t="str">
        <f t="shared" si="25"/>
        <v/>
      </c>
      <c r="AC75" s="11">
        <v>0</v>
      </c>
      <c r="AD75" s="11">
        <v>0</v>
      </c>
      <c r="AE75" s="11" t="str">
        <f t="shared" si="26"/>
        <v/>
      </c>
      <c r="AF75" s="11">
        <v>0</v>
      </c>
      <c r="AG75" s="11">
        <v>0</v>
      </c>
      <c r="AH75" s="11" t="str">
        <f t="shared" si="27"/>
        <v/>
      </c>
      <c r="AI75" s="32" t="s">
        <v>1347</v>
      </c>
      <c r="AJ75" s="33">
        <f t="shared" si="28"/>
        <v>3</v>
      </c>
      <c r="AK75" s="34">
        <f t="shared" si="29"/>
        <v>3</v>
      </c>
      <c r="AL75" s="32">
        <f t="shared" si="30"/>
        <v>3</v>
      </c>
      <c r="AM75" s="32">
        <f t="shared" si="31"/>
        <v>9</v>
      </c>
      <c r="AN75" s="32">
        <f t="shared" si="32"/>
        <v>3</v>
      </c>
      <c r="AO75" s="32">
        <f t="shared" si="33"/>
        <v>3</v>
      </c>
      <c r="AP75" s="32">
        <f t="shared" si="34"/>
        <v>3</v>
      </c>
      <c r="AQ75" s="15">
        <f t="shared" si="35"/>
        <v>0</v>
      </c>
    </row>
    <row r="76" spans="1:43" ht="34" x14ac:dyDescent="0.2">
      <c r="A76" s="7">
        <v>75</v>
      </c>
      <c r="B76" s="8" t="s">
        <v>200</v>
      </c>
      <c r="C76" s="8" t="s">
        <v>201</v>
      </c>
      <c r="D76" s="8" t="s">
        <v>34</v>
      </c>
      <c r="E76" s="16" t="s">
        <v>39</v>
      </c>
      <c r="F76" s="8" t="s">
        <v>36</v>
      </c>
      <c r="G76" s="7">
        <v>680987</v>
      </c>
      <c r="H76" s="9">
        <v>43190</v>
      </c>
      <c r="I76" s="10">
        <f t="shared" si="18"/>
        <v>8</v>
      </c>
      <c r="J76" s="10">
        <v>0</v>
      </c>
      <c r="K76" s="10">
        <v>0</v>
      </c>
      <c r="L76" s="10">
        <v>0</v>
      </c>
      <c r="M76" s="10">
        <f t="shared" si="19"/>
        <v>0</v>
      </c>
      <c r="N76" s="10">
        <v>38518486</v>
      </c>
      <c r="O76" s="10">
        <v>35703039</v>
      </c>
      <c r="P76" s="10">
        <v>35728828</v>
      </c>
      <c r="Q76" s="10">
        <f t="shared" si="20"/>
        <v>36650117.666666664</v>
      </c>
      <c r="R76" s="11" t="str">
        <f t="shared" si="21"/>
        <v/>
      </c>
      <c r="S76" s="11">
        <f t="shared" si="22"/>
        <v>7.5640753851489091</v>
      </c>
      <c r="T76" s="7"/>
      <c r="U76" s="7"/>
      <c r="V76" s="7"/>
      <c r="W76" s="13">
        <f t="shared" si="23"/>
        <v>0</v>
      </c>
      <c r="X76" s="7" t="s">
        <v>41</v>
      </c>
      <c r="Y76" s="7" t="s">
        <v>59</v>
      </c>
      <c r="Z76" s="7" t="s">
        <v>59</v>
      </c>
      <c r="AA76" s="13">
        <f t="shared" si="24"/>
        <v>0</v>
      </c>
      <c r="AB76" s="11" t="str">
        <f t="shared" si="25"/>
        <v/>
      </c>
      <c r="AC76" s="11">
        <v>0</v>
      </c>
      <c r="AD76" s="11">
        <v>0</v>
      </c>
      <c r="AE76" s="11" t="str">
        <f t="shared" si="26"/>
        <v/>
      </c>
      <c r="AF76" s="11">
        <v>0</v>
      </c>
      <c r="AG76" s="11">
        <v>0</v>
      </c>
      <c r="AH76" s="11" t="str">
        <f t="shared" si="27"/>
        <v/>
      </c>
      <c r="AI76" s="32" t="s">
        <v>1347</v>
      </c>
      <c r="AJ76" s="33">
        <f t="shared" si="28"/>
        <v>3</v>
      </c>
      <c r="AK76" s="34">
        <f t="shared" si="29"/>
        <v>7</v>
      </c>
      <c r="AL76" s="32">
        <f t="shared" si="30"/>
        <v>3</v>
      </c>
      <c r="AM76" s="32">
        <f t="shared" si="31"/>
        <v>7</v>
      </c>
      <c r="AN76" s="32">
        <f t="shared" si="32"/>
        <v>3</v>
      </c>
      <c r="AO76" s="32">
        <f t="shared" si="33"/>
        <v>3</v>
      </c>
      <c r="AP76" s="32">
        <f t="shared" si="34"/>
        <v>3</v>
      </c>
      <c r="AQ76" s="15">
        <f t="shared" si="35"/>
        <v>0</v>
      </c>
    </row>
    <row r="77" spans="1:43" ht="34" x14ac:dyDescent="0.2">
      <c r="A77" s="7">
        <v>76</v>
      </c>
      <c r="B77" s="8" t="s">
        <v>202</v>
      </c>
      <c r="C77" s="8" t="s">
        <v>203</v>
      </c>
      <c r="D77" s="8" t="s">
        <v>34</v>
      </c>
      <c r="E77" s="16" t="s">
        <v>39</v>
      </c>
      <c r="F77" s="8" t="s">
        <v>36</v>
      </c>
      <c r="G77" s="7">
        <v>0</v>
      </c>
      <c r="H77" s="9" t="s">
        <v>44</v>
      </c>
      <c r="I77" s="10" t="str">
        <f t="shared" si="18"/>
        <v>NA</v>
      </c>
      <c r="J77" s="10" t="s">
        <v>40</v>
      </c>
      <c r="K77" s="10" t="s">
        <v>40</v>
      </c>
      <c r="L77" s="10" t="s">
        <v>40</v>
      </c>
      <c r="M77" s="10">
        <f t="shared" si="19"/>
        <v>0</v>
      </c>
      <c r="N77" s="10" t="s">
        <v>40</v>
      </c>
      <c r="O77" s="10" t="s">
        <v>40</v>
      </c>
      <c r="P77" s="10" t="s">
        <v>40</v>
      </c>
      <c r="Q77" s="10">
        <f t="shared" si="20"/>
        <v>0</v>
      </c>
      <c r="R77" s="11" t="str">
        <f t="shared" si="21"/>
        <v/>
      </c>
      <c r="S77" s="11" t="str">
        <f t="shared" si="22"/>
        <v/>
      </c>
      <c r="T77" s="7"/>
      <c r="U77" s="7"/>
      <c r="V77" s="7"/>
      <c r="W77" s="13">
        <f t="shared" si="23"/>
        <v>0</v>
      </c>
      <c r="X77" s="7" t="s">
        <v>41</v>
      </c>
      <c r="Y77" s="7" t="s">
        <v>59</v>
      </c>
      <c r="Z77" s="7" t="s">
        <v>59</v>
      </c>
      <c r="AA77" s="13">
        <f t="shared" si="24"/>
        <v>0</v>
      </c>
      <c r="AB77" s="11" t="str">
        <f t="shared" si="25"/>
        <v/>
      </c>
      <c r="AC77" s="11">
        <v>0</v>
      </c>
      <c r="AD77" s="11">
        <v>0</v>
      </c>
      <c r="AE77" s="11" t="str">
        <f t="shared" si="26"/>
        <v/>
      </c>
      <c r="AF77" s="11">
        <v>0</v>
      </c>
      <c r="AG77" s="11">
        <v>0</v>
      </c>
      <c r="AH77" s="11" t="str">
        <f t="shared" si="27"/>
        <v/>
      </c>
      <c r="AI77" s="32" t="s">
        <v>1347</v>
      </c>
      <c r="AJ77" s="33">
        <f t="shared" si="28"/>
        <v>3</v>
      </c>
      <c r="AK77" s="34">
        <f t="shared" si="29"/>
        <v>3</v>
      </c>
      <c r="AL77" s="32">
        <f t="shared" si="30"/>
        <v>3</v>
      </c>
      <c r="AM77" s="32">
        <f t="shared" si="31"/>
        <v>9</v>
      </c>
      <c r="AN77" s="32">
        <f t="shared" si="32"/>
        <v>3</v>
      </c>
      <c r="AO77" s="32">
        <f t="shared" si="33"/>
        <v>3</v>
      </c>
      <c r="AP77" s="32">
        <f t="shared" si="34"/>
        <v>3</v>
      </c>
      <c r="AQ77" s="15">
        <f t="shared" si="35"/>
        <v>0</v>
      </c>
    </row>
    <row r="78" spans="1:43" ht="34" x14ac:dyDescent="0.2">
      <c r="A78" s="7">
        <v>77</v>
      </c>
      <c r="B78" s="8" t="s">
        <v>204</v>
      </c>
      <c r="C78" s="8" t="s">
        <v>205</v>
      </c>
      <c r="D78" s="8" t="s">
        <v>34</v>
      </c>
      <c r="E78" s="16" t="s">
        <v>39</v>
      </c>
      <c r="F78" s="8" t="s">
        <v>36</v>
      </c>
      <c r="G78" s="7">
        <v>610983</v>
      </c>
      <c r="H78" s="9">
        <v>43190</v>
      </c>
      <c r="I78" s="10">
        <f t="shared" si="18"/>
        <v>8</v>
      </c>
      <c r="J78" s="10">
        <v>771595</v>
      </c>
      <c r="K78" s="10">
        <v>-12640</v>
      </c>
      <c r="L78" s="10">
        <v>-120955</v>
      </c>
      <c r="M78" s="10">
        <f t="shared" si="19"/>
        <v>257198.33333333334</v>
      </c>
      <c r="N78" s="10">
        <v>27324747</v>
      </c>
      <c r="O78" s="10">
        <v>34785768</v>
      </c>
      <c r="P78" s="10">
        <v>37322970</v>
      </c>
      <c r="Q78" s="10">
        <f t="shared" si="20"/>
        <v>33144495</v>
      </c>
      <c r="R78" s="11">
        <f t="shared" si="21"/>
        <v>5.4102698385522237</v>
      </c>
      <c r="S78" s="11">
        <f t="shared" si="22"/>
        <v>7.5204114194590534</v>
      </c>
      <c r="T78" s="7"/>
      <c r="U78" s="7"/>
      <c r="V78" s="7"/>
      <c r="W78" s="13">
        <f t="shared" si="23"/>
        <v>0</v>
      </c>
      <c r="X78" s="7" t="s">
        <v>41</v>
      </c>
      <c r="Y78" s="7" t="s">
        <v>59</v>
      </c>
      <c r="Z78" s="7" t="s">
        <v>59</v>
      </c>
      <c r="AA78" s="13">
        <f t="shared" si="24"/>
        <v>0</v>
      </c>
      <c r="AB78" s="11" t="str">
        <f t="shared" si="25"/>
        <v/>
      </c>
      <c r="AC78" s="11">
        <v>0</v>
      </c>
      <c r="AD78" s="11">
        <v>0</v>
      </c>
      <c r="AE78" s="11" t="str">
        <f t="shared" si="26"/>
        <v/>
      </c>
      <c r="AF78" s="11">
        <v>0</v>
      </c>
      <c r="AG78" s="11">
        <v>0</v>
      </c>
      <c r="AH78" s="11" t="str">
        <f t="shared" si="27"/>
        <v/>
      </c>
      <c r="AI78" s="32" t="s">
        <v>1347</v>
      </c>
      <c r="AJ78" s="33">
        <f t="shared" si="28"/>
        <v>3</v>
      </c>
      <c r="AK78" s="34">
        <f t="shared" si="29"/>
        <v>5</v>
      </c>
      <c r="AL78" s="32">
        <f t="shared" si="30"/>
        <v>3</v>
      </c>
      <c r="AM78" s="32">
        <f t="shared" si="31"/>
        <v>7</v>
      </c>
      <c r="AN78" s="32">
        <f t="shared" si="32"/>
        <v>3</v>
      </c>
      <c r="AO78" s="32">
        <f t="shared" si="33"/>
        <v>3</v>
      </c>
      <c r="AP78" s="32">
        <f t="shared" si="34"/>
        <v>3</v>
      </c>
      <c r="AQ78" s="15">
        <f t="shared" si="35"/>
        <v>0</v>
      </c>
    </row>
    <row r="79" spans="1:43" ht="34" x14ac:dyDescent="0.2">
      <c r="A79" s="7">
        <v>78</v>
      </c>
      <c r="B79" s="8" t="s">
        <v>206</v>
      </c>
      <c r="C79" s="8" t="s">
        <v>207</v>
      </c>
      <c r="D79" s="8" t="s">
        <v>34</v>
      </c>
      <c r="E79" s="16" t="s">
        <v>39</v>
      </c>
      <c r="F79" s="8" t="s">
        <v>36</v>
      </c>
      <c r="G79" s="7">
        <v>680983</v>
      </c>
      <c r="H79" s="9">
        <v>42460</v>
      </c>
      <c r="I79" s="10">
        <f t="shared" si="18"/>
        <v>10</v>
      </c>
      <c r="J79" s="10">
        <v>-2323</v>
      </c>
      <c r="K79" s="10">
        <v>0</v>
      </c>
      <c r="L79" s="10">
        <v>0</v>
      </c>
      <c r="M79" s="10">
        <f t="shared" si="19"/>
        <v>0</v>
      </c>
      <c r="N79" s="10">
        <v>10399826</v>
      </c>
      <c r="O79" s="10">
        <v>5401268</v>
      </c>
      <c r="P79" s="10">
        <v>6094727</v>
      </c>
      <c r="Q79" s="10">
        <f t="shared" si="20"/>
        <v>7298607</v>
      </c>
      <c r="R79" s="11" t="str">
        <f t="shared" si="21"/>
        <v/>
      </c>
      <c r="S79" s="11">
        <f t="shared" si="22"/>
        <v>6.8632400388102814</v>
      </c>
      <c r="T79" s="7"/>
      <c r="U79" s="7"/>
      <c r="V79" s="7"/>
      <c r="W79" s="13">
        <f t="shared" si="23"/>
        <v>0</v>
      </c>
      <c r="X79" s="7" t="s">
        <v>41</v>
      </c>
      <c r="Y79" s="7" t="s">
        <v>59</v>
      </c>
      <c r="Z79" s="7" t="s">
        <v>59</v>
      </c>
      <c r="AA79" s="13">
        <f t="shared" si="24"/>
        <v>0</v>
      </c>
      <c r="AB79" s="11" t="str">
        <f t="shared" si="25"/>
        <v/>
      </c>
      <c r="AC79" s="11">
        <v>0</v>
      </c>
      <c r="AD79" s="11">
        <v>0</v>
      </c>
      <c r="AE79" s="11" t="str">
        <f t="shared" si="26"/>
        <v/>
      </c>
      <c r="AF79" s="11">
        <v>0</v>
      </c>
      <c r="AG79" s="11">
        <v>0</v>
      </c>
      <c r="AH79" s="11" t="str">
        <f t="shared" si="27"/>
        <v/>
      </c>
      <c r="AI79" s="32" t="s">
        <v>1347</v>
      </c>
      <c r="AJ79" s="33">
        <f t="shared" si="28"/>
        <v>3</v>
      </c>
      <c r="AK79" s="34">
        <f t="shared" si="29"/>
        <v>3</v>
      </c>
      <c r="AL79" s="32">
        <f t="shared" si="30"/>
        <v>3</v>
      </c>
      <c r="AM79" s="32">
        <f t="shared" si="31"/>
        <v>7</v>
      </c>
      <c r="AN79" s="32">
        <f t="shared" si="32"/>
        <v>3</v>
      </c>
      <c r="AO79" s="32">
        <f t="shared" si="33"/>
        <v>3</v>
      </c>
      <c r="AP79" s="32">
        <f t="shared" si="34"/>
        <v>3</v>
      </c>
      <c r="AQ79" s="15">
        <f t="shared" si="35"/>
        <v>0</v>
      </c>
    </row>
    <row r="80" spans="1:43" ht="34" x14ac:dyDescent="0.2">
      <c r="A80" s="7">
        <v>79</v>
      </c>
      <c r="B80" s="8" t="s">
        <v>208</v>
      </c>
      <c r="C80" s="8" t="s">
        <v>209</v>
      </c>
      <c r="D80" s="8" t="s">
        <v>34</v>
      </c>
      <c r="E80" s="16" t="s">
        <v>39</v>
      </c>
      <c r="F80" s="8" t="s">
        <v>36</v>
      </c>
      <c r="G80" s="7">
        <v>590984</v>
      </c>
      <c r="H80" s="9">
        <v>42460</v>
      </c>
      <c r="I80" s="10">
        <f t="shared" si="18"/>
        <v>10</v>
      </c>
      <c r="J80" s="10">
        <v>-175</v>
      </c>
      <c r="K80" s="10">
        <v>0</v>
      </c>
      <c r="L80" s="10">
        <v>0</v>
      </c>
      <c r="M80" s="10">
        <f t="shared" si="19"/>
        <v>0</v>
      </c>
      <c r="N80" s="10">
        <v>3055208</v>
      </c>
      <c r="O80" s="10">
        <v>2631858</v>
      </c>
      <c r="P80" s="10">
        <v>3568270</v>
      </c>
      <c r="Q80" s="10">
        <f t="shared" si="20"/>
        <v>3085112</v>
      </c>
      <c r="R80" s="11" t="str">
        <f t="shared" si="21"/>
        <v/>
      </c>
      <c r="S80" s="11">
        <f t="shared" si="22"/>
        <v>6.4892710757850436</v>
      </c>
      <c r="T80" s="7"/>
      <c r="U80" s="7"/>
      <c r="V80" s="7"/>
      <c r="W80" s="13">
        <f t="shared" si="23"/>
        <v>0</v>
      </c>
      <c r="X80" s="7" t="s">
        <v>41</v>
      </c>
      <c r="Y80" s="7" t="s">
        <v>59</v>
      </c>
      <c r="Z80" s="7" t="s">
        <v>59</v>
      </c>
      <c r="AA80" s="13">
        <f t="shared" si="24"/>
        <v>0</v>
      </c>
      <c r="AB80" s="11" t="str">
        <f t="shared" si="25"/>
        <v/>
      </c>
      <c r="AC80" s="11">
        <v>0</v>
      </c>
      <c r="AD80" s="11">
        <v>0</v>
      </c>
      <c r="AE80" s="11" t="str">
        <f t="shared" si="26"/>
        <v/>
      </c>
      <c r="AF80" s="11">
        <v>0</v>
      </c>
      <c r="AG80" s="11">
        <v>0</v>
      </c>
      <c r="AH80" s="11" t="str">
        <f t="shared" si="27"/>
        <v/>
      </c>
      <c r="AI80" s="32" t="s">
        <v>1347</v>
      </c>
      <c r="AJ80" s="33">
        <f t="shared" si="28"/>
        <v>3</v>
      </c>
      <c r="AK80" s="34">
        <f t="shared" si="29"/>
        <v>3</v>
      </c>
      <c r="AL80" s="32">
        <f t="shared" si="30"/>
        <v>3</v>
      </c>
      <c r="AM80" s="32">
        <f t="shared" si="31"/>
        <v>7</v>
      </c>
      <c r="AN80" s="32">
        <f t="shared" si="32"/>
        <v>3</v>
      </c>
      <c r="AO80" s="32">
        <f t="shared" si="33"/>
        <v>3</v>
      </c>
      <c r="AP80" s="32">
        <f t="shared" si="34"/>
        <v>3</v>
      </c>
      <c r="AQ80" s="15">
        <f t="shared" si="35"/>
        <v>0</v>
      </c>
    </row>
    <row r="81" spans="1:43" ht="34" x14ac:dyDescent="0.2">
      <c r="A81" s="7">
        <v>80</v>
      </c>
      <c r="B81" s="8" t="s">
        <v>210</v>
      </c>
      <c r="C81" s="8" t="s">
        <v>211</v>
      </c>
      <c r="D81" s="8" t="s">
        <v>34</v>
      </c>
      <c r="E81" s="16" t="s">
        <v>39</v>
      </c>
      <c r="F81" s="8" t="s">
        <v>36</v>
      </c>
      <c r="G81" s="7">
        <v>660986</v>
      </c>
      <c r="H81" s="9">
        <v>42460</v>
      </c>
      <c r="I81" s="10">
        <f t="shared" si="18"/>
        <v>10</v>
      </c>
      <c r="J81" s="10">
        <v>0</v>
      </c>
      <c r="K81" s="10">
        <v>0</v>
      </c>
      <c r="L81" s="10">
        <v>0</v>
      </c>
      <c r="M81" s="10">
        <f t="shared" si="19"/>
        <v>0</v>
      </c>
      <c r="N81" s="10">
        <v>2914964</v>
      </c>
      <c r="O81" s="10">
        <v>4150503</v>
      </c>
      <c r="P81" s="10">
        <v>4282162</v>
      </c>
      <c r="Q81" s="10">
        <f t="shared" si="20"/>
        <v>3782543</v>
      </c>
      <c r="R81" s="11" t="str">
        <f t="shared" si="21"/>
        <v/>
      </c>
      <c r="S81" s="11">
        <f t="shared" si="22"/>
        <v>6.5777839886042955</v>
      </c>
      <c r="T81" s="7"/>
      <c r="U81" s="7"/>
      <c r="V81" s="7"/>
      <c r="W81" s="13">
        <f t="shared" si="23"/>
        <v>0</v>
      </c>
      <c r="X81" s="7" t="s">
        <v>41</v>
      </c>
      <c r="Y81" s="7" t="s">
        <v>59</v>
      </c>
      <c r="Z81" s="7" t="s">
        <v>59</v>
      </c>
      <c r="AA81" s="13">
        <f t="shared" si="24"/>
        <v>0</v>
      </c>
      <c r="AB81" s="11" t="str">
        <f t="shared" si="25"/>
        <v/>
      </c>
      <c r="AC81" s="11">
        <v>0</v>
      </c>
      <c r="AD81" s="11">
        <v>0</v>
      </c>
      <c r="AE81" s="11" t="str">
        <f t="shared" si="26"/>
        <v/>
      </c>
      <c r="AF81" s="11">
        <v>0</v>
      </c>
      <c r="AG81" s="11">
        <v>0</v>
      </c>
      <c r="AH81" s="11" t="str">
        <f t="shared" si="27"/>
        <v/>
      </c>
      <c r="AI81" s="32" t="s">
        <v>1347</v>
      </c>
      <c r="AJ81" s="33">
        <f t="shared" si="28"/>
        <v>3</v>
      </c>
      <c r="AK81" s="34">
        <f t="shared" si="29"/>
        <v>3</v>
      </c>
      <c r="AL81" s="32">
        <f t="shared" si="30"/>
        <v>3</v>
      </c>
      <c r="AM81" s="32">
        <f t="shared" si="31"/>
        <v>7</v>
      </c>
      <c r="AN81" s="32">
        <f t="shared" si="32"/>
        <v>3</v>
      </c>
      <c r="AO81" s="32">
        <f t="shared" si="33"/>
        <v>3</v>
      </c>
      <c r="AP81" s="32">
        <f t="shared" si="34"/>
        <v>3</v>
      </c>
      <c r="AQ81" s="15">
        <f t="shared" si="35"/>
        <v>0</v>
      </c>
    </row>
    <row r="82" spans="1:43" ht="34" x14ac:dyDescent="0.2">
      <c r="A82" s="7">
        <v>81</v>
      </c>
      <c r="B82" s="8" t="s">
        <v>212</v>
      </c>
      <c r="C82" s="8" t="s">
        <v>213</v>
      </c>
      <c r="D82" s="8" t="s">
        <v>34</v>
      </c>
      <c r="E82" s="16" t="s">
        <v>39</v>
      </c>
      <c r="F82" s="8" t="s">
        <v>36</v>
      </c>
      <c r="G82" s="35" t="s">
        <v>44</v>
      </c>
      <c r="H82" s="9">
        <v>42460</v>
      </c>
      <c r="I82" s="10">
        <f t="shared" si="18"/>
        <v>10</v>
      </c>
      <c r="J82" s="10" t="s">
        <v>40</v>
      </c>
      <c r="K82" s="10" t="s">
        <v>40</v>
      </c>
      <c r="L82" s="10" t="s">
        <v>40</v>
      </c>
      <c r="M82" s="10">
        <f t="shared" si="19"/>
        <v>0</v>
      </c>
      <c r="N82" s="10" t="s">
        <v>40</v>
      </c>
      <c r="O82" s="10" t="s">
        <v>40</v>
      </c>
      <c r="P82" s="10" t="s">
        <v>40</v>
      </c>
      <c r="Q82" s="10">
        <f t="shared" si="20"/>
        <v>0</v>
      </c>
      <c r="R82" s="11" t="str">
        <f t="shared" si="21"/>
        <v/>
      </c>
      <c r="S82" s="11" t="str">
        <f t="shared" si="22"/>
        <v/>
      </c>
      <c r="T82" s="7"/>
      <c r="U82" s="7"/>
      <c r="V82" s="7"/>
      <c r="W82" s="13">
        <f t="shared" si="23"/>
        <v>0</v>
      </c>
      <c r="X82" s="7" t="s">
        <v>41</v>
      </c>
      <c r="Y82" s="7" t="s">
        <v>59</v>
      </c>
      <c r="Z82" s="7" t="s">
        <v>59</v>
      </c>
      <c r="AA82" s="13">
        <f t="shared" si="24"/>
        <v>0</v>
      </c>
      <c r="AB82" s="11" t="str">
        <f t="shared" si="25"/>
        <v/>
      </c>
      <c r="AC82" s="11">
        <v>0</v>
      </c>
      <c r="AD82" s="11">
        <v>0</v>
      </c>
      <c r="AE82" s="11" t="str">
        <f t="shared" si="26"/>
        <v/>
      </c>
      <c r="AF82" s="11">
        <v>0</v>
      </c>
      <c r="AG82" s="11">
        <v>0</v>
      </c>
      <c r="AH82" s="11" t="str">
        <f t="shared" si="27"/>
        <v/>
      </c>
      <c r="AI82" s="32" t="s">
        <v>1347</v>
      </c>
      <c r="AJ82" s="33">
        <f t="shared" si="28"/>
        <v>3</v>
      </c>
      <c r="AK82" s="34">
        <f t="shared" si="29"/>
        <v>3</v>
      </c>
      <c r="AL82" s="32">
        <f t="shared" si="30"/>
        <v>3</v>
      </c>
      <c r="AM82" s="32">
        <f t="shared" si="31"/>
        <v>7</v>
      </c>
      <c r="AN82" s="32">
        <f t="shared" si="32"/>
        <v>3</v>
      </c>
      <c r="AO82" s="32">
        <f t="shared" si="33"/>
        <v>3</v>
      </c>
      <c r="AP82" s="32">
        <f t="shared" si="34"/>
        <v>3</v>
      </c>
      <c r="AQ82" s="15">
        <f t="shared" si="35"/>
        <v>0</v>
      </c>
    </row>
    <row r="83" spans="1:43" ht="34" x14ac:dyDescent="0.2">
      <c r="A83" s="7">
        <v>82</v>
      </c>
      <c r="B83" s="8" t="s">
        <v>214</v>
      </c>
      <c r="C83" s="8" t="s">
        <v>215</v>
      </c>
      <c r="D83" s="8" t="s">
        <v>34</v>
      </c>
      <c r="E83" s="16" t="s">
        <v>39</v>
      </c>
      <c r="F83" s="8" t="s">
        <v>36</v>
      </c>
      <c r="G83" s="7">
        <v>740984</v>
      </c>
      <c r="H83" s="9">
        <v>40999</v>
      </c>
      <c r="I83" s="10">
        <f t="shared" si="18"/>
        <v>14</v>
      </c>
      <c r="J83" s="10">
        <v>0</v>
      </c>
      <c r="K83" s="10">
        <v>0</v>
      </c>
      <c r="L83" s="10">
        <v>0</v>
      </c>
      <c r="M83" s="10">
        <f t="shared" si="19"/>
        <v>0</v>
      </c>
      <c r="N83" s="10">
        <v>533580</v>
      </c>
      <c r="O83" s="10">
        <v>592672</v>
      </c>
      <c r="P83" s="10">
        <v>459160</v>
      </c>
      <c r="Q83" s="10">
        <f t="shared" si="20"/>
        <v>528470.66666666663</v>
      </c>
      <c r="R83" s="11" t="str">
        <f t="shared" si="21"/>
        <v/>
      </c>
      <c r="S83" s="11">
        <f t="shared" si="22"/>
        <v>5.7230217081237225</v>
      </c>
      <c r="T83" s="7"/>
      <c r="U83" s="7"/>
      <c r="V83" s="7"/>
      <c r="W83" s="13">
        <f t="shared" si="23"/>
        <v>0</v>
      </c>
      <c r="X83" s="7" t="s">
        <v>41</v>
      </c>
      <c r="Y83" s="7" t="s">
        <v>59</v>
      </c>
      <c r="Z83" s="7" t="s">
        <v>59</v>
      </c>
      <c r="AA83" s="13">
        <f t="shared" si="24"/>
        <v>0</v>
      </c>
      <c r="AB83" s="11" t="str">
        <f t="shared" si="25"/>
        <v/>
      </c>
      <c r="AC83" s="11">
        <v>0</v>
      </c>
      <c r="AD83" s="11">
        <v>0</v>
      </c>
      <c r="AE83" s="11" t="str">
        <f t="shared" si="26"/>
        <v/>
      </c>
      <c r="AF83" s="11">
        <v>0</v>
      </c>
      <c r="AG83" s="11">
        <v>0</v>
      </c>
      <c r="AH83" s="11" t="str">
        <f t="shared" si="27"/>
        <v/>
      </c>
      <c r="AI83" s="32" t="s">
        <v>1347</v>
      </c>
      <c r="AJ83" s="33">
        <f t="shared" si="28"/>
        <v>3</v>
      </c>
      <c r="AK83" s="34">
        <f t="shared" si="29"/>
        <v>3</v>
      </c>
      <c r="AL83" s="32">
        <f t="shared" si="30"/>
        <v>3</v>
      </c>
      <c r="AM83" s="32">
        <f t="shared" si="31"/>
        <v>9</v>
      </c>
      <c r="AN83" s="32">
        <f t="shared" si="32"/>
        <v>3</v>
      </c>
      <c r="AO83" s="32">
        <f t="shared" si="33"/>
        <v>3</v>
      </c>
      <c r="AP83" s="32">
        <f t="shared" si="34"/>
        <v>3</v>
      </c>
      <c r="AQ83" s="15">
        <f t="shared" si="35"/>
        <v>0</v>
      </c>
    </row>
    <row r="84" spans="1:43" ht="34" x14ac:dyDescent="0.2">
      <c r="A84" s="7">
        <v>83</v>
      </c>
      <c r="B84" s="8" t="s">
        <v>216</v>
      </c>
      <c r="C84" s="8" t="s">
        <v>217</v>
      </c>
      <c r="D84" s="8" t="s">
        <v>34</v>
      </c>
      <c r="E84" s="16" t="s">
        <v>39</v>
      </c>
      <c r="F84" s="8" t="s">
        <v>36</v>
      </c>
      <c r="G84" s="7">
        <v>660981</v>
      </c>
      <c r="H84" s="9" t="s">
        <v>218</v>
      </c>
      <c r="I84" s="10" t="str">
        <f t="shared" si="18"/>
        <v>Beg</v>
      </c>
      <c r="J84" s="10" t="s">
        <v>40</v>
      </c>
      <c r="K84" s="10" t="s">
        <v>40</v>
      </c>
      <c r="L84" s="10" t="s">
        <v>40</v>
      </c>
      <c r="M84" s="10">
        <f t="shared" si="19"/>
        <v>0</v>
      </c>
      <c r="N84" s="10">
        <v>0</v>
      </c>
      <c r="O84" s="10">
        <v>0</v>
      </c>
      <c r="P84" s="10" t="s">
        <v>44</v>
      </c>
      <c r="Q84" s="10">
        <f t="shared" si="20"/>
        <v>0</v>
      </c>
      <c r="R84" s="11" t="str">
        <f t="shared" si="21"/>
        <v/>
      </c>
      <c r="S84" s="11" t="str">
        <f t="shared" si="22"/>
        <v/>
      </c>
      <c r="T84" s="7"/>
      <c r="U84" s="7"/>
      <c r="V84" s="7"/>
      <c r="W84" s="13">
        <f t="shared" si="23"/>
        <v>0</v>
      </c>
      <c r="X84" s="7" t="s">
        <v>41</v>
      </c>
      <c r="Y84" s="7" t="s">
        <v>59</v>
      </c>
      <c r="Z84" s="7" t="s">
        <v>59</v>
      </c>
      <c r="AA84" s="13">
        <f t="shared" si="24"/>
        <v>0</v>
      </c>
      <c r="AB84" s="11" t="str">
        <f t="shared" si="25"/>
        <v/>
      </c>
      <c r="AC84" s="11">
        <v>0</v>
      </c>
      <c r="AD84" s="11">
        <v>0</v>
      </c>
      <c r="AE84" s="11" t="str">
        <f t="shared" si="26"/>
        <v/>
      </c>
      <c r="AF84" s="11">
        <v>0</v>
      </c>
      <c r="AG84" s="11">
        <v>0</v>
      </c>
      <c r="AH84" s="11" t="str">
        <f t="shared" si="27"/>
        <v/>
      </c>
      <c r="AI84" s="32" t="s">
        <v>1347</v>
      </c>
      <c r="AJ84" s="33">
        <f t="shared" si="28"/>
        <v>3</v>
      </c>
      <c r="AK84" s="34">
        <f t="shared" si="29"/>
        <v>3</v>
      </c>
      <c r="AL84" s="32">
        <f t="shared" si="30"/>
        <v>3</v>
      </c>
      <c r="AM84" s="32">
        <f t="shared" si="31"/>
        <v>9</v>
      </c>
      <c r="AN84" s="32">
        <f t="shared" si="32"/>
        <v>3</v>
      </c>
      <c r="AO84" s="32">
        <f t="shared" si="33"/>
        <v>3</v>
      </c>
      <c r="AP84" s="32">
        <f t="shared" si="34"/>
        <v>3</v>
      </c>
      <c r="AQ84" s="15">
        <f t="shared" si="35"/>
        <v>0</v>
      </c>
    </row>
    <row r="85" spans="1:43" ht="34" x14ac:dyDescent="0.2">
      <c r="A85" s="7">
        <v>84</v>
      </c>
      <c r="B85" s="8" t="s">
        <v>219</v>
      </c>
      <c r="C85" s="8" t="s">
        <v>220</v>
      </c>
      <c r="D85" s="8" t="s">
        <v>34</v>
      </c>
      <c r="E85" s="16" t="s">
        <v>39</v>
      </c>
      <c r="F85" s="8" t="s">
        <v>36</v>
      </c>
      <c r="G85" s="7" t="s">
        <v>44</v>
      </c>
      <c r="H85" s="9">
        <v>42460</v>
      </c>
      <c r="I85" s="10">
        <f t="shared" si="18"/>
        <v>10</v>
      </c>
      <c r="J85" s="10" t="s">
        <v>40</v>
      </c>
      <c r="K85" s="10" t="s">
        <v>40</v>
      </c>
      <c r="L85" s="10" t="s">
        <v>40</v>
      </c>
      <c r="M85" s="10">
        <f t="shared" si="19"/>
        <v>0</v>
      </c>
      <c r="N85" s="10" t="s">
        <v>40</v>
      </c>
      <c r="O85" s="10" t="s">
        <v>40</v>
      </c>
      <c r="P85" s="10" t="s">
        <v>40</v>
      </c>
      <c r="Q85" s="10">
        <f t="shared" si="20"/>
        <v>0</v>
      </c>
      <c r="R85" s="11" t="str">
        <f t="shared" si="21"/>
        <v/>
      </c>
      <c r="S85" s="11" t="str">
        <f t="shared" si="22"/>
        <v/>
      </c>
      <c r="T85" s="7"/>
      <c r="U85" s="7"/>
      <c r="V85" s="7"/>
      <c r="W85" s="13">
        <f t="shared" si="23"/>
        <v>0</v>
      </c>
      <c r="X85" s="7" t="s">
        <v>41</v>
      </c>
      <c r="Y85" s="7" t="s">
        <v>59</v>
      </c>
      <c r="Z85" s="7" t="s">
        <v>59</v>
      </c>
      <c r="AA85" s="13">
        <f t="shared" si="24"/>
        <v>0</v>
      </c>
      <c r="AB85" s="11" t="str">
        <f t="shared" si="25"/>
        <v/>
      </c>
      <c r="AC85" s="11">
        <v>0</v>
      </c>
      <c r="AD85" s="11">
        <v>0</v>
      </c>
      <c r="AE85" s="11" t="str">
        <f t="shared" si="26"/>
        <v/>
      </c>
      <c r="AF85" s="11">
        <v>0</v>
      </c>
      <c r="AG85" s="11">
        <v>0</v>
      </c>
      <c r="AH85" s="11" t="str">
        <f t="shared" si="27"/>
        <v/>
      </c>
      <c r="AI85" s="32" t="s">
        <v>1347</v>
      </c>
      <c r="AJ85" s="33">
        <f t="shared" si="28"/>
        <v>3</v>
      </c>
      <c r="AK85" s="34">
        <f t="shared" si="29"/>
        <v>3</v>
      </c>
      <c r="AL85" s="32">
        <f t="shared" si="30"/>
        <v>3</v>
      </c>
      <c r="AM85" s="32">
        <f t="shared" si="31"/>
        <v>7</v>
      </c>
      <c r="AN85" s="32">
        <f t="shared" si="32"/>
        <v>3</v>
      </c>
      <c r="AO85" s="32">
        <f t="shared" si="33"/>
        <v>3</v>
      </c>
      <c r="AP85" s="32">
        <f t="shared" si="34"/>
        <v>3</v>
      </c>
      <c r="AQ85" s="15">
        <f t="shared" si="35"/>
        <v>0</v>
      </c>
    </row>
    <row r="86" spans="1:43" ht="51" x14ac:dyDescent="0.2">
      <c r="A86" s="7">
        <v>85</v>
      </c>
      <c r="B86" s="19" t="s">
        <v>221</v>
      </c>
      <c r="C86" s="8" t="s">
        <v>222</v>
      </c>
      <c r="D86" s="8" t="s">
        <v>34</v>
      </c>
      <c r="E86" s="16" t="s">
        <v>39</v>
      </c>
      <c r="F86" s="8" t="s">
        <v>36</v>
      </c>
      <c r="G86" s="7">
        <v>570986</v>
      </c>
      <c r="H86" s="9">
        <v>41364</v>
      </c>
      <c r="I86" s="10">
        <f t="shared" si="18"/>
        <v>13</v>
      </c>
      <c r="J86" s="10">
        <v>0</v>
      </c>
      <c r="K86" s="10">
        <v>0</v>
      </c>
      <c r="L86" s="10">
        <v>0</v>
      </c>
      <c r="M86" s="10">
        <f t="shared" si="19"/>
        <v>0</v>
      </c>
      <c r="N86" s="10">
        <v>20630016</v>
      </c>
      <c r="O86" s="10">
        <v>36602610</v>
      </c>
      <c r="P86" s="10">
        <v>28332260</v>
      </c>
      <c r="Q86" s="10">
        <f t="shared" si="20"/>
        <v>28521628.666666668</v>
      </c>
      <c r="R86" s="11" t="str">
        <f t="shared" si="21"/>
        <v/>
      </c>
      <c r="S86" s="11">
        <f t="shared" si="22"/>
        <v>7.4551743365732523</v>
      </c>
      <c r="T86" s="7"/>
      <c r="U86" s="7"/>
      <c r="V86" s="7"/>
      <c r="W86" s="13">
        <f t="shared" si="23"/>
        <v>0</v>
      </c>
      <c r="X86" s="7" t="s">
        <v>41</v>
      </c>
      <c r="Y86" s="7" t="s">
        <v>59</v>
      </c>
      <c r="Z86" s="7" t="s">
        <v>59</v>
      </c>
      <c r="AA86" s="13">
        <f t="shared" si="24"/>
        <v>0</v>
      </c>
      <c r="AB86" s="11" t="str">
        <f t="shared" si="25"/>
        <v/>
      </c>
      <c r="AC86" s="11">
        <v>0</v>
      </c>
      <c r="AD86" s="11">
        <v>0</v>
      </c>
      <c r="AE86" s="11" t="str">
        <f t="shared" si="26"/>
        <v/>
      </c>
      <c r="AF86" s="11">
        <v>0</v>
      </c>
      <c r="AG86" s="11">
        <v>0</v>
      </c>
      <c r="AH86" s="11" t="str">
        <f t="shared" si="27"/>
        <v/>
      </c>
      <c r="AI86" s="32" t="s">
        <v>1347</v>
      </c>
      <c r="AJ86" s="33">
        <f t="shared" si="28"/>
        <v>3</v>
      </c>
      <c r="AK86" s="34">
        <f t="shared" si="29"/>
        <v>5</v>
      </c>
      <c r="AL86" s="32">
        <f t="shared" si="30"/>
        <v>3</v>
      </c>
      <c r="AM86" s="32">
        <f t="shared" si="31"/>
        <v>9</v>
      </c>
      <c r="AN86" s="32">
        <f t="shared" si="32"/>
        <v>3</v>
      </c>
      <c r="AO86" s="32">
        <f t="shared" si="33"/>
        <v>3</v>
      </c>
      <c r="AP86" s="32">
        <f t="shared" si="34"/>
        <v>3</v>
      </c>
      <c r="AQ86" s="15">
        <f t="shared" si="35"/>
        <v>0</v>
      </c>
    </row>
    <row r="87" spans="1:43" ht="34" x14ac:dyDescent="0.2">
      <c r="A87" s="7">
        <v>86</v>
      </c>
      <c r="B87" s="8" t="s">
        <v>223</v>
      </c>
      <c r="C87" s="8" t="s">
        <v>224</v>
      </c>
      <c r="D87" s="8" t="s">
        <v>34</v>
      </c>
      <c r="E87" s="16" t="s">
        <v>39</v>
      </c>
      <c r="F87" s="8" t="s">
        <v>36</v>
      </c>
      <c r="G87" s="7">
        <v>570987</v>
      </c>
      <c r="H87" s="9">
        <v>42460</v>
      </c>
      <c r="I87" s="10">
        <f t="shared" si="18"/>
        <v>10</v>
      </c>
      <c r="J87" s="10">
        <v>-18518</v>
      </c>
      <c r="K87" s="10">
        <v>0</v>
      </c>
      <c r="L87" s="10">
        <v>0</v>
      </c>
      <c r="M87" s="10">
        <f t="shared" si="19"/>
        <v>0</v>
      </c>
      <c r="N87" s="10">
        <v>14969994</v>
      </c>
      <c r="O87" s="10">
        <v>15688544</v>
      </c>
      <c r="P87" s="10">
        <v>17819729</v>
      </c>
      <c r="Q87" s="10">
        <f t="shared" si="20"/>
        <v>16159422.333333334</v>
      </c>
      <c r="R87" s="11" t="str">
        <f t="shared" si="21"/>
        <v/>
      </c>
      <c r="S87" s="11">
        <f t="shared" si="22"/>
        <v>7.2084258584422898</v>
      </c>
      <c r="T87" s="7"/>
      <c r="U87" s="7"/>
      <c r="V87" s="7"/>
      <c r="W87" s="13">
        <f t="shared" si="23"/>
        <v>0</v>
      </c>
      <c r="X87" s="7" t="s">
        <v>41</v>
      </c>
      <c r="Y87" s="7" t="s">
        <v>59</v>
      </c>
      <c r="Z87" s="7" t="s">
        <v>59</v>
      </c>
      <c r="AA87" s="13">
        <f t="shared" si="24"/>
        <v>0</v>
      </c>
      <c r="AB87" s="11" t="str">
        <f t="shared" si="25"/>
        <v/>
      </c>
      <c r="AC87" s="11">
        <v>0</v>
      </c>
      <c r="AD87" s="11">
        <v>0</v>
      </c>
      <c r="AE87" s="11" t="str">
        <f t="shared" si="26"/>
        <v/>
      </c>
      <c r="AF87" s="11">
        <v>0</v>
      </c>
      <c r="AG87" s="11">
        <v>0</v>
      </c>
      <c r="AH87" s="11" t="str">
        <f t="shared" si="27"/>
        <v/>
      </c>
      <c r="AI87" s="32" t="s">
        <v>1347</v>
      </c>
      <c r="AJ87" s="33">
        <f t="shared" si="28"/>
        <v>3</v>
      </c>
      <c r="AK87" s="34">
        <f t="shared" si="29"/>
        <v>3</v>
      </c>
      <c r="AL87" s="32">
        <f t="shared" si="30"/>
        <v>3</v>
      </c>
      <c r="AM87" s="32">
        <f t="shared" si="31"/>
        <v>7</v>
      </c>
      <c r="AN87" s="32">
        <f t="shared" si="32"/>
        <v>3</v>
      </c>
      <c r="AO87" s="32">
        <f t="shared" si="33"/>
        <v>3</v>
      </c>
      <c r="AP87" s="32">
        <f t="shared" si="34"/>
        <v>3</v>
      </c>
      <c r="AQ87" s="15">
        <f t="shared" si="35"/>
        <v>0</v>
      </c>
    </row>
    <row r="88" spans="1:43" ht="51" x14ac:dyDescent="0.2">
      <c r="A88" s="7">
        <v>87</v>
      </c>
      <c r="B88" s="8" t="s">
        <v>225</v>
      </c>
      <c r="C88" s="8" t="s">
        <v>226</v>
      </c>
      <c r="D88" s="8" t="s">
        <v>34</v>
      </c>
      <c r="E88" s="16" t="s">
        <v>39</v>
      </c>
      <c r="F88" s="8" t="s">
        <v>36</v>
      </c>
      <c r="G88" s="7">
        <v>570988</v>
      </c>
      <c r="H88" s="9" t="s">
        <v>218</v>
      </c>
      <c r="I88" s="10" t="str">
        <f t="shared" si="18"/>
        <v>Beg</v>
      </c>
      <c r="J88" s="10">
        <v>0</v>
      </c>
      <c r="K88" s="10">
        <v>0</v>
      </c>
      <c r="L88" s="10">
        <v>0</v>
      </c>
      <c r="M88" s="10">
        <f t="shared" si="19"/>
        <v>0</v>
      </c>
      <c r="N88" s="10">
        <v>3892814</v>
      </c>
      <c r="O88" s="10">
        <v>5848092</v>
      </c>
      <c r="P88" s="10">
        <v>3724267</v>
      </c>
      <c r="Q88" s="10">
        <f t="shared" si="20"/>
        <v>4488391</v>
      </c>
      <c r="R88" s="11" t="str">
        <f t="shared" si="21"/>
        <v/>
      </c>
      <c r="S88" s="11">
        <f t="shared" si="22"/>
        <v>6.6520907796212034</v>
      </c>
      <c r="T88" s="7"/>
      <c r="U88" s="7"/>
      <c r="V88" s="7"/>
      <c r="W88" s="13">
        <f t="shared" si="23"/>
        <v>0</v>
      </c>
      <c r="X88" s="7" t="s">
        <v>41</v>
      </c>
      <c r="Y88" s="7" t="s">
        <v>59</v>
      </c>
      <c r="Z88" s="7" t="s">
        <v>59</v>
      </c>
      <c r="AA88" s="13">
        <f t="shared" si="24"/>
        <v>0</v>
      </c>
      <c r="AB88" s="11" t="str">
        <f t="shared" si="25"/>
        <v/>
      </c>
      <c r="AC88" s="11">
        <v>0</v>
      </c>
      <c r="AD88" s="11">
        <v>0</v>
      </c>
      <c r="AE88" s="11" t="str">
        <f t="shared" si="26"/>
        <v/>
      </c>
      <c r="AF88" s="11">
        <v>0</v>
      </c>
      <c r="AG88" s="11">
        <v>0</v>
      </c>
      <c r="AH88" s="11" t="str">
        <f t="shared" si="27"/>
        <v/>
      </c>
      <c r="AI88" s="32" t="s">
        <v>1347</v>
      </c>
      <c r="AJ88" s="33">
        <f t="shared" si="28"/>
        <v>3</v>
      </c>
      <c r="AK88" s="34">
        <f t="shared" si="29"/>
        <v>3</v>
      </c>
      <c r="AL88" s="32">
        <f t="shared" si="30"/>
        <v>3</v>
      </c>
      <c r="AM88" s="32">
        <f t="shared" si="31"/>
        <v>9</v>
      </c>
      <c r="AN88" s="32">
        <f t="shared" si="32"/>
        <v>3</v>
      </c>
      <c r="AO88" s="32">
        <f t="shared" si="33"/>
        <v>3</v>
      </c>
      <c r="AP88" s="32">
        <f t="shared" si="34"/>
        <v>3</v>
      </c>
      <c r="AQ88" s="15">
        <f t="shared" si="35"/>
        <v>0</v>
      </c>
    </row>
    <row r="89" spans="1:43" ht="34" x14ac:dyDescent="0.2">
      <c r="A89" s="7">
        <v>88</v>
      </c>
      <c r="B89" s="8" t="s">
        <v>227</v>
      </c>
      <c r="C89" s="8" t="s">
        <v>228</v>
      </c>
      <c r="D89" s="8" t="s">
        <v>34</v>
      </c>
      <c r="E89" s="16" t="s">
        <v>39</v>
      </c>
      <c r="F89" s="8" t="s">
        <v>36</v>
      </c>
      <c r="G89" s="7" t="s">
        <v>44</v>
      </c>
      <c r="H89" s="9" t="s">
        <v>44</v>
      </c>
      <c r="I89" s="10" t="str">
        <f t="shared" si="18"/>
        <v>NA</v>
      </c>
      <c r="J89" s="10" t="s">
        <v>40</v>
      </c>
      <c r="K89" s="10" t="s">
        <v>40</v>
      </c>
      <c r="L89" s="10" t="s">
        <v>40</v>
      </c>
      <c r="M89" s="10">
        <f t="shared" si="19"/>
        <v>0</v>
      </c>
      <c r="N89" s="10" t="s">
        <v>40</v>
      </c>
      <c r="O89" s="10" t="s">
        <v>40</v>
      </c>
      <c r="P89" s="10" t="s">
        <v>40</v>
      </c>
      <c r="Q89" s="10">
        <f t="shared" si="20"/>
        <v>0</v>
      </c>
      <c r="R89" s="11" t="str">
        <f t="shared" si="21"/>
        <v/>
      </c>
      <c r="S89" s="11" t="str">
        <f t="shared" si="22"/>
        <v/>
      </c>
      <c r="T89" s="7"/>
      <c r="U89" s="7"/>
      <c r="V89" s="7"/>
      <c r="W89" s="13">
        <f t="shared" si="23"/>
        <v>0</v>
      </c>
      <c r="X89" s="7" t="s">
        <v>41</v>
      </c>
      <c r="Y89" s="7" t="s">
        <v>59</v>
      </c>
      <c r="Z89" s="7" t="s">
        <v>59</v>
      </c>
      <c r="AA89" s="13">
        <f t="shared" si="24"/>
        <v>0</v>
      </c>
      <c r="AB89" s="11" t="str">
        <f t="shared" si="25"/>
        <v/>
      </c>
      <c r="AC89" s="11">
        <v>0</v>
      </c>
      <c r="AD89" s="11">
        <v>0</v>
      </c>
      <c r="AE89" s="11" t="str">
        <f t="shared" si="26"/>
        <v/>
      </c>
      <c r="AF89" s="11">
        <v>0</v>
      </c>
      <c r="AG89" s="11">
        <v>0</v>
      </c>
      <c r="AH89" s="11" t="str">
        <f t="shared" si="27"/>
        <v/>
      </c>
      <c r="AI89" s="32" t="s">
        <v>1347</v>
      </c>
      <c r="AJ89" s="33">
        <f t="shared" si="28"/>
        <v>3</v>
      </c>
      <c r="AK89" s="34">
        <f t="shared" si="29"/>
        <v>3</v>
      </c>
      <c r="AL89" s="32">
        <f t="shared" si="30"/>
        <v>3</v>
      </c>
      <c r="AM89" s="32">
        <f t="shared" si="31"/>
        <v>9</v>
      </c>
      <c r="AN89" s="32">
        <f t="shared" si="32"/>
        <v>3</v>
      </c>
      <c r="AO89" s="32">
        <f t="shared" si="33"/>
        <v>3</v>
      </c>
      <c r="AP89" s="32">
        <f t="shared" si="34"/>
        <v>3</v>
      </c>
      <c r="AQ89" s="15">
        <f t="shared" si="35"/>
        <v>0</v>
      </c>
    </row>
    <row r="90" spans="1:43" ht="51" x14ac:dyDescent="0.2">
      <c r="A90" s="7">
        <v>89</v>
      </c>
      <c r="B90" s="8" t="s">
        <v>229</v>
      </c>
      <c r="C90" s="8" t="s">
        <v>230</v>
      </c>
      <c r="D90" s="8" t="s">
        <v>34</v>
      </c>
      <c r="E90" s="16" t="s">
        <v>39</v>
      </c>
      <c r="F90" s="8" t="s">
        <v>231</v>
      </c>
      <c r="G90" s="7">
        <v>0</v>
      </c>
      <c r="H90" s="9">
        <v>45382</v>
      </c>
      <c r="I90" s="10">
        <f t="shared" si="18"/>
        <v>2</v>
      </c>
      <c r="J90" s="10" t="s">
        <v>40</v>
      </c>
      <c r="K90" s="10" t="s">
        <v>40</v>
      </c>
      <c r="L90" s="10" t="s">
        <v>40</v>
      </c>
      <c r="M90" s="10">
        <f t="shared" si="19"/>
        <v>0</v>
      </c>
      <c r="N90" s="10" t="s">
        <v>40</v>
      </c>
      <c r="O90" s="10" t="s">
        <v>40</v>
      </c>
      <c r="P90" s="10" t="s">
        <v>40</v>
      </c>
      <c r="Q90" s="10">
        <f t="shared" si="20"/>
        <v>0</v>
      </c>
      <c r="R90" s="11" t="str">
        <f t="shared" si="21"/>
        <v/>
      </c>
      <c r="S90" s="11" t="str">
        <f t="shared" si="22"/>
        <v/>
      </c>
      <c r="T90" s="7">
        <v>3</v>
      </c>
      <c r="U90" s="7"/>
      <c r="V90" s="7"/>
      <c r="W90" s="13">
        <f t="shared" si="23"/>
        <v>3</v>
      </c>
      <c r="X90" s="7" t="s">
        <v>41</v>
      </c>
      <c r="Y90" s="7" t="s">
        <v>59</v>
      </c>
      <c r="Z90" s="7" t="s">
        <v>59</v>
      </c>
      <c r="AA90" s="13">
        <f t="shared" si="24"/>
        <v>0</v>
      </c>
      <c r="AB90" s="11" t="str">
        <f t="shared" si="25"/>
        <v/>
      </c>
      <c r="AC90" s="11">
        <v>0</v>
      </c>
      <c r="AD90" s="11">
        <v>0</v>
      </c>
      <c r="AE90" s="11" t="str">
        <f t="shared" si="26"/>
        <v/>
      </c>
      <c r="AF90" s="11">
        <v>0</v>
      </c>
      <c r="AG90" s="11">
        <v>0</v>
      </c>
      <c r="AH90" s="11" t="str">
        <f t="shared" si="27"/>
        <v/>
      </c>
      <c r="AI90" s="32" t="s">
        <v>1347</v>
      </c>
      <c r="AJ90" s="33">
        <f t="shared" si="28"/>
        <v>3</v>
      </c>
      <c r="AK90" s="34">
        <f t="shared" si="29"/>
        <v>3</v>
      </c>
      <c r="AL90" s="32">
        <f t="shared" si="30"/>
        <v>7</v>
      </c>
      <c r="AM90" s="32">
        <f t="shared" si="31"/>
        <v>3</v>
      </c>
      <c r="AN90" s="32">
        <f t="shared" si="32"/>
        <v>3</v>
      </c>
      <c r="AO90" s="32">
        <f t="shared" si="33"/>
        <v>3</v>
      </c>
      <c r="AP90" s="32">
        <f t="shared" si="34"/>
        <v>3</v>
      </c>
      <c r="AQ90" s="15">
        <f t="shared" si="35"/>
        <v>0</v>
      </c>
    </row>
    <row r="91" spans="1:43" ht="51" x14ac:dyDescent="0.2">
      <c r="A91" s="7">
        <v>90</v>
      </c>
      <c r="B91" s="8" t="s">
        <v>232</v>
      </c>
      <c r="C91" s="8" t="s">
        <v>233</v>
      </c>
      <c r="D91" s="8" t="s">
        <v>34</v>
      </c>
      <c r="E91" s="16" t="s">
        <v>39</v>
      </c>
      <c r="F91" s="8" t="s">
        <v>231</v>
      </c>
      <c r="G91" s="7">
        <v>0</v>
      </c>
      <c r="H91" s="9">
        <v>45382</v>
      </c>
      <c r="I91" s="10">
        <f t="shared" si="18"/>
        <v>2</v>
      </c>
      <c r="J91" s="10" t="s">
        <v>40</v>
      </c>
      <c r="K91" s="10" t="s">
        <v>40</v>
      </c>
      <c r="L91" s="10" t="s">
        <v>40</v>
      </c>
      <c r="M91" s="10">
        <f t="shared" si="19"/>
        <v>0</v>
      </c>
      <c r="N91" s="10" t="s">
        <v>40</v>
      </c>
      <c r="O91" s="10" t="s">
        <v>40</v>
      </c>
      <c r="P91" s="10" t="s">
        <v>40</v>
      </c>
      <c r="Q91" s="10">
        <f t="shared" si="20"/>
        <v>0</v>
      </c>
      <c r="R91" s="11" t="str">
        <f t="shared" si="21"/>
        <v/>
      </c>
      <c r="S91" s="11" t="str">
        <f t="shared" si="22"/>
        <v/>
      </c>
      <c r="T91" s="7"/>
      <c r="U91" s="7"/>
      <c r="V91" s="7">
        <v>2</v>
      </c>
      <c r="W91" s="13">
        <f t="shared" si="23"/>
        <v>2</v>
      </c>
      <c r="X91" s="7" t="s">
        <v>47</v>
      </c>
      <c r="Y91" s="7" t="s">
        <v>48</v>
      </c>
      <c r="Z91" s="7" t="s">
        <v>85</v>
      </c>
      <c r="AA91" s="13">
        <f t="shared" si="24"/>
        <v>0</v>
      </c>
      <c r="AB91" s="11" t="str">
        <f t="shared" si="25"/>
        <v/>
      </c>
      <c r="AC91" s="11">
        <v>0</v>
      </c>
      <c r="AD91" s="11">
        <v>0</v>
      </c>
      <c r="AE91" s="11" t="str">
        <f t="shared" si="26"/>
        <v/>
      </c>
      <c r="AF91" s="11">
        <v>0</v>
      </c>
      <c r="AG91" s="11">
        <v>0</v>
      </c>
      <c r="AH91" s="11" t="str">
        <f t="shared" si="27"/>
        <v/>
      </c>
      <c r="AI91" s="32" t="s">
        <v>1346</v>
      </c>
      <c r="AJ91" s="33">
        <f t="shared" si="28"/>
        <v>3</v>
      </c>
      <c r="AK91" s="34">
        <f t="shared" si="29"/>
        <v>3</v>
      </c>
      <c r="AL91" s="32">
        <f t="shared" si="30"/>
        <v>5</v>
      </c>
      <c r="AM91" s="32">
        <f t="shared" si="31"/>
        <v>3</v>
      </c>
      <c r="AN91" s="32">
        <f t="shared" si="32"/>
        <v>3</v>
      </c>
      <c r="AO91" s="32">
        <f t="shared" si="33"/>
        <v>3</v>
      </c>
      <c r="AP91" s="32">
        <f t="shared" si="34"/>
        <v>3</v>
      </c>
      <c r="AQ91" s="15">
        <f t="shared" si="35"/>
        <v>9</v>
      </c>
    </row>
    <row r="92" spans="1:43" ht="51" x14ac:dyDescent="0.2">
      <c r="A92" s="7">
        <v>91</v>
      </c>
      <c r="B92" s="19" t="s">
        <v>234</v>
      </c>
      <c r="C92" s="8" t="s">
        <v>235</v>
      </c>
      <c r="D92" s="8" t="s">
        <v>34</v>
      </c>
      <c r="E92" s="16" t="s">
        <v>39</v>
      </c>
      <c r="F92" s="8" t="s">
        <v>231</v>
      </c>
      <c r="G92" s="7">
        <v>0</v>
      </c>
      <c r="H92" s="9" t="s">
        <v>44</v>
      </c>
      <c r="I92" s="10" t="str">
        <f t="shared" si="18"/>
        <v>NA</v>
      </c>
      <c r="J92" s="10" t="s">
        <v>40</v>
      </c>
      <c r="K92" s="10" t="s">
        <v>40</v>
      </c>
      <c r="L92" s="10" t="s">
        <v>40</v>
      </c>
      <c r="M92" s="10">
        <f t="shared" si="19"/>
        <v>0</v>
      </c>
      <c r="N92" s="10" t="s">
        <v>40</v>
      </c>
      <c r="O92" s="10" t="s">
        <v>40</v>
      </c>
      <c r="P92" s="10" t="s">
        <v>40</v>
      </c>
      <c r="Q92" s="10">
        <f t="shared" si="20"/>
        <v>0</v>
      </c>
      <c r="R92" s="11" t="str">
        <f t="shared" si="21"/>
        <v/>
      </c>
      <c r="S92" s="11" t="str">
        <f t="shared" si="22"/>
        <v/>
      </c>
      <c r="T92" s="7"/>
      <c r="U92" s="7"/>
      <c r="V92" s="7"/>
      <c r="W92" s="13">
        <f t="shared" si="23"/>
        <v>0</v>
      </c>
      <c r="X92" s="7" t="s">
        <v>41</v>
      </c>
      <c r="Y92" s="7" t="s">
        <v>59</v>
      </c>
      <c r="Z92" s="7" t="s">
        <v>59</v>
      </c>
      <c r="AA92" s="13">
        <f t="shared" si="24"/>
        <v>0</v>
      </c>
      <c r="AB92" s="11" t="str">
        <f t="shared" si="25"/>
        <v/>
      </c>
      <c r="AC92" s="11">
        <v>0</v>
      </c>
      <c r="AD92" s="11">
        <v>0</v>
      </c>
      <c r="AE92" s="11" t="str">
        <f t="shared" si="26"/>
        <v/>
      </c>
      <c r="AF92" s="11">
        <v>0</v>
      </c>
      <c r="AG92" s="11">
        <v>0</v>
      </c>
      <c r="AH92" s="11" t="str">
        <f t="shared" si="27"/>
        <v/>
      </c>
      <c r="AI92" s="32" t="s">
        <v>1347</v>
      </c>
      <c r="AJ92" s="33">
        <f t="shared" si="28"/>
        <v>3</v>
      </c>
      <c r="AK92" s="34">
        <f t="shared" si="29"/>
        <v>3</v>
      </c>
      <c r="AL92" s="32">
        <f t="shared" si="30"/>
        <v>3</v>
      </c>
      <c r="AM92" s="32">
        <f t="shared" si="31"/>
        <v>9</v>
      </c>
      <c r="AN92" s="32">
        <f t="shared" si="32"/>
        <v>3</v>
      </c>
      <c r="AO92" s="32">
        <f t="shared" si="33"/>
        <v>3</v>
      </c>
      <c r="AP92" s="32">
        <f t="shared" si="34"/>
        <v>3</v>
      </c>
      <c r="AQ92" s="15">
        <f t="shared" si="35"/>
        <v>0</v>
      </c>
    </row>
    <row r="93" spans="1:43" ht="34" x14ac:dyDescent="0.2">
      <c r="A93" s="7">
        <v>92</v>
      </c>
      <c r="B93" s="8" t="s">
        <v>236</v>
      </c>
      <c r="C93" s="8" t="s">
        <v>237</v>
      </c>
      <c r="D93" s="8" t="s">
        <v>34</v>
      </c>
      <c r="E93" s="16" t="s">
        <v>39</v>
      </c>
      <c r="F93" s="8" t="s">
        <v>231</v>
      </c>
      <c r="G93" s="7">
        <v>0</v>
      </c>
      <c r="H93" s="9">
        <v>45382</v>
      </c>
      <c r="I93" s="10">
        <f t="shared" si="18"/>
        <v>2</v>
      </c>
      <c r="J93" s="10" t="s">
        <v>40</v>
      </c>
      <c r="K93" s="10" t="s">
        <v>40</v>
      </c>
      <c r="L93" s="10" t="s">
        <v>40</v>
      </c>
      <c r="M93" s="10">
        <f t="shared" si="19"/>
        <v>0</v>
      </c>
      <c r="N93" s="10" t="s">
        <v>40</v>
      </c>
      <c r="O93" s="10" t="s">
        <v>40</v>
      </c>
      <c r="P93" s="10" t="s">
        <v>40</v>
      </c>
      <c r="Q93" s="10">
        <f t="shared" si="20"/>
        <v>0</v>
      </c>
      <c r="R93" s="11" t="str">
        <f t="shared" si="21"/>
        <v/>
      </c>
      <c r="S93" s="11" t="str">
        <f t="shared" si="22"/>
        <v/>
      </c>
      <c r="T93" s="7"/>
      <c r="U93" s="7"/>
      <c r="V93" s="7">
        <v>0</v>
      </c>
      <c r="W93" s="13">
        <f t="shared" si="23"/>
        <v>0</v>
      </c>
      <c r="X93" s="7" t="s">
        <v>238</v>
      </c>
      <c r="Y93" s="7" t="s">
        <v>59</v>
      </c>
      <c r="Z93" s="7" t="s">
        <v>59</v>
      </c>
      <c r="AA93" s="13">
        <f t="shared" si="24"/>
        <v>0</v>
      </c>
      <c r="AB93" s="11" t="str">
        <f t="shared" si="25"/>
        <v/>
      </c>
      <c r="AC93" s="11">
        <v>0</v>
      </c>
      <c r="AD93" s="11">
        <v>0</v>
      </c>
      <c r="AE93" s="11" t="str">
        <f t="shared" si="26"/>
        <v/>
      </c>
      <c r="AF93" s="11">
        <v>0</v>
      </c>
      <c r="AG93" s="11">
        <v>0</v>
      </c>
      <c r="AH93" s="11" t="str">
        <f t="shared" si="27"/>
        <v/>
      </c>
      <c r="AI93" s="32" t="s">
        <v>1347</v>
      </c>
      <c r="AJ93" s="33">
        <f t="shared" si="28"/>
        <v>3</v>
      </c>
      <c r="AK93" s="34">
        <f t="shared" si="29"/>
        <v>3</v>
      </c>
      <c r="AL93" s="32">
        <f t="shared" si="30"/>
        <v>3</v>
      </c>
      <c r="AM93" s="32">
        <f t="shared" si="31"/>
        <v>3</v>
      </c>
      <c r="AN93" s="32">
        <f t="shared" si="32"/>
        <v>3</v>
      </c>
      <c r="AO93" s="32">
        <f t="shared" si="33"/>
        <v>3</v>
      </c>
      <c r="AP93" s="32">
        <f t="shared" si="34"/>
        <v>3</v>
      </c>
      <c r="AQ93" s="15">
        <f t="shared" si="35"/>
        <v>0</v>
      </c>
    </row>
    <row r="94" spans="1:43" ht="34" x14ac:dyDescent="0.2">
      <c r="A94" s="7">
        <v>93</v>
      </c>
      <c r="B94" s="8" t="s">
        <v>239</v>
      </c>
      <c r="C94" s="8" t="s">
        <v>240</v>
      </c>
      <c r="D94" s="8" t="s">
        <v>34</v>
      </c>
      <c r="E94" s="16" t="s">
        <v>39</v>
      </c>
      <c r="F94" s="8" t="s">
        <v>231</v>
      </c>
      <c r="G94" s="7">
        <v>0</v>
      </c>
      <c r="H94" s="9">
        <v>45016</v>
      </c>
      <c r="I94" s="10">
        <f t="shared" si="18"/>
        <v>3</v>
      </c>
      <c r="J94" s="10" t="s">
        <v>40</v>
      </c>
      <c r="K94" s="10" t="s">
        <v>40</v>
      </c>
      <c r="L94" s="10" t="s">
        <v>40</v>
      </c>
      <c r="M94" s="10">
        <f t="shared" si="19"/>
        <v>0</v>
      </c>
      <c r="N94" s="10" t="s">
        <v>40</v>
      </c>
      <c r="O94" s="10" t="s">
        <v>40</v>
      </c>
      <c r="P94" s="10" t="s">
        <v>40</v>
      </c>
      <c r="Q94" s="10">
        <f t="shared" si="20"/>
        <v>0</v>
      </c>
      <c r="R94" s="11" t="str">
        <f t="shared" si="21"/>
        <v/>
      </c>
      <c r="S94" s="11" t="str">
        <f t="shared" si="22"/>
        <v/>
      </c>
      <c r="T94" s="7"/>
      <c r="U94" s="7">
        <v>2</v>
      </c>
      <c r="V94" s="7"/>
      <c r="W94" s="13">
        <f t="shared" si="23"/>
        <v>2</v>
      </c>
      <c r="X94" s="7" t="s">
        <v>41</v>
      </c>
      <c r="Y94" s="7" t="s">
        <v>59</v>
      </c>
      <c r="Z94" s="7" t="s">
        <v>59</v>
      </c>
      <c r="AA94" s="13">
        <f t="shared" si="24"/>
        <v>0</v>
      </c>
      <c r="AB94" s="11" t="str">
        <f t="shared" si="25"/>
        <v/>
      </c>
      <c r="AC94" s="11">
        <v>0</v>
      </c>
      <c r="AD94" s="11">
        <v>0</v>
      </c>
      <c r="AE94" s="11" t="str">
        <f t="shared" si="26"/>
        <v/>
      </c>
      <c r="AF94" s="11">
        <v>0</v>
      </c>
      <c r="AG94" s="11">
        <v>0</v>
      </c>
      <c r="AH94" s="11" t="str">
        <f t="shared" si="27"/>
        <v/>
      </c>
      <c r="AI94" s="32" t="s">
        <v>1347</v>
      </c>
      <c r="AJ94" s="33">
        <f t="shared" si="28"/>
        <v>3</v>
      </c>
      <c r="AK94" s="34">
        <f t="shared" si="29"/>
        <v>3</v>
      </c>
      <c r="AL94" s="32">
        <f t="shared" si="30"/>
        <v>5</v>
      </c>
      <c r="AM94" s="32">
        <f t="shared" si="31"/>
        <v>3</v>
      </c>
      <c r="AN94" s="32">
        <f t="shared" si="32"/>
        <v>3</v>
      </c>
      <c r="AO94" s="32">
        <f t="shared" si="33"/>
        <v>3</v>
      </c>
      <c r="AP94" s="32">
        <f t="shared" si="34"/>
        <v>3</v>
      </c>
      <c r="AQ94" s="15">
        <f t="shared" si="35"/>
        <v>0</v>
      </c>
    </row>
    <row r="95" spans="1:43" ht="34" x14ac:dyDescent="0.2">
      <c r="A95" s="7">
        <v>94</v>
      </c>
      <c r="B95" s="8" t="s">
        <v>241</v>
      </c>
      <c r="C95" s="8" t="s">
        <v>242</v>
      </c>
      <c r="D95" s="8" t="s">
        <v>34</v>
      </c>
      <c r="E95" s="16" t="s">
        <v>39</v>
      </c>
      <c r="F95" s="8" t="s">
        <v>231</v>
      </c>
      <c r="G95" s="7">
        <v>0</v>
      </c>
      <c r="H95" s="9">
        <v>44286</v>
      </c>
      <c r="I95" s="10">
        <f t="shared" si="18"/>
        <v>5</v>
      </c>
      <c r="J95" s="10" t="s">
        <v>40</v>
      </c>
      <c r="K95" s="10" t="s">
        <v>40</v>
      </c>
      <c r="L95" s="10" t="s">
        <v>40</v>
      </c>
      <c r="M95" s="10">
        <f t="shared" si="19"/>
        <v>0</v>
      </c>
      <c r="N95" s="10" t="s">
        <v>40</v>
      </c>
      <c r="O95" s="10" t="s">
        <v>40</v>
      </c>
      <c r="P95" s="10" t="s">
        <v>40</v>
      </c>
      <c r="Q95" s="10">
        <f t="shared" si="20"/>
        <v>0</v>
      </c>
      <c r="R95" s="11" t="str">
        <f t="shared" si="21"/>
        <v/>
      </c>
      <c r="S95" s="11" t="str">
        <f t="shared" si="22"/>
        <v/>
      </c>
      <c r="T95" s="7"/>
      <c r="U95" s="7"/>
      <c r="V95" s="7"/>
      <c r="W95" s="13">
        <f t="shared" si="23"/>
        <v>0</v>
      </c>
      <c r="X95" s="7" t="s">
        <v>41</v>
      </c>
      <c r="Y95" s="7" t="s">
        <v>59</v>
      </c>
      <c r="Z95" s="7" t="s">
        <v>59</v>
      </c>
      <c r="AA95" s="13">
        <f t="shared" si="24"/>
        <v>0</v>
      </c>
      <c r="AB95" s="11" t="str">
        <f t="shared" si="25"/>
        <v/>
      </c>
      <c r="AC95" s="11">
        <v>0</v>
      </c>
      <c r="AD95" s="11">
        <v>0</v>
      </c>
      <c r="AE95" s="11" t="str">
        <f t="shared" si="26"/>
        <v/>
      </c>
      <c r="AF95" s="11">
        <v>0</v>
      </c>
      <c r="AG95" s="11">
        <v>0</v>
      </c>
      <c r="AH95" s="11" t="str">
        <f t="shared" si="27"/>
        <v/>
      </c>
      <c r="AI95" s="32" t="s">
        <v>1347</v>
      </c>
      <c r="AJ95" s="33">
        <f t="shared" si="28"/>
        <v>3</v>
      </c>
      <c r="AK95" s="34">
        <f t="shared" si="29"/>
        <v>3</v>
      </c>
      <c r="AL95" s="32">
        <f t="shared" si="30"/>
        <v>3</v>
      </c>
      <c r="AM95" s="32">
        <f t="shared" si="31"/>
        <v>5</v>
      </c>
      <c r="AN95" s="32">
        <f t="shared" si="32"/>
        <v>3</v>
      </c>
      <c r="AO95" s="32">
        <f t="shared" si="33"/>
        <v>3</v>
      </c>
      <c r="AP95" s="32">
        <f t="shared" si="34"/>
        <v>3</v>
      </c>
      <c r="AQ95" s="15">
        <f t="shared" si="35"/>
        <v>0</v>
      </c>
    </row>
    <row r="96" spans="1:43" ht="34" x14ac:dyDescent="0.2">
      <c r="A96" s="7">
        <v>95</v>
      </c>
      <c r="B96" s="8" t="s">
        <v>243</v>
      </c>
      <c r="C96" s="8" t="s">
        <v>244</v>
      </c>
      <c r="D96" s="8" t="s">
        <v>34</v>
      </c>
      <c r="E96" s="16" t="s">
        <v>39</v>
      </c>
      <c r="F96" s="22" t="s">
        <v>245</v>
      </c>
      <c r="G96" s="7">
        <v>0</v>
      </c>
      <c r="H96" s="9">
        <v>42460</v>
      </c>
      <c r="I96" s="10">
        <f t="shared" si="18"/>
        <v>10</v>
      </c>
      <c r="J96" s="10" t="s">
        <v>40</v>
      </c>
      <c r="K96" s="10" t="s">
        <v>40</v>
      </c>
      <c r="L96" s="10" t="s">
        <v>40</v>
      </c>
      <c r="M96" s="10">
        <f t="shared" si="19"/>
        <v>0</v>
      </c>
      <c r="N96" s="10" t="s">
        <v>40</v>
      </c>
      <c r="O96" s="10" t="s">
        <v>40</v>
      </c>
      <c r="P96" s="10" t="s">
        <v>40</v>
      </c>
      <c r="Q96" s="10">
        <f t="shared" si="20"/>
        <v>0</v>
      </c>
      <c r="R96" s="11" t="str">
        <f t="shared" si="21"/>
        <v/>
      </c>
      <c r="S96" s="11" t="str">
        <f t="shared" si="22"/>
        <v/>
      </c>
      <c r="T96" s="7"/>
      <c r="U96" s="7"/>
      <c r="V96" s="7"/>
      <c r="W96" s="13">
        <f t="shared" si="23"/>
        <v>0</v>
      </c>
      <c r="X96" s="7" t="s">
        <v>41</v>
      </c>
      <c r="Y96" s="7" t="s">
        <v>59</v>
      </c>
      <c r="Z96" s="7" t="s">
        <v>59</v>
      </c>
      <c r="AA96" s="13">
        <f t="shared" si="24"/>
        <v>0</v>
      </c>
      <c r="AB96" s="11" t="str">
        <f t="shared" si="25"/>
        <v/>
      </c>
      <c r="AC96" s="11">
        <v>0</v>
      </c>
      <c r="AD96" s="11">
        <v>0</v>
      </c>
      <c r="AE96" s="11" t="str">
        <f t="shared" si="26"/>
        <v/>
      </c>
      <c r="AF96" s="11">
        <v>0</v>
      </c>
      <c r="AG96" s="11">
        <v>0</v>
      </c>
      <c r="AH96" s="11" t="str">
        <f t="shared" si="27"/>
        <v/>
      </c>
      <c r="AI96" s="32" t="s">
        <v>1347</v>
      </c>
      <c r="AJ96" s="33">
        <f t="shared" si="28"/>
        <v>3</v>
      </c>
      <c r="AK96" s="34">
        <f t="shared" si="29"/>
        <v>3</v>
      </c>
      <c r="AL96" s="32">
        <f t="shared" si="30"/>
        <v>3</v>
      </c>
      <c r="AM96" s="32">
        <f t="shared" si="31"/>
        <v>7</v>
      </c>
      <c r="AN96" s="32">
        <f t="shared" si="32"/>
        <v>3</v>
      </c>
      <c r="AO96" s="32">
        <f t="shared" si="33"/>
        <v>3</v>
      </c>
      <c r="AP96" s="32">
        <f t="shared" si="34"/>
        <v>3</v>
      </c>
      <c r="AQ96" s="15">
        <f t="shared" si="35"/>
        <v>0</v>
      </c>
    </row>
    <row r="97" spans="1:43" ht="34" x14ac:dyDescent="0.2">
      <c r="A97" s="7">
        <v>96</v>
      </c>
      <c r="B97" s="8" t="s">
        <v>246</v>
      </c>
      <c r="C97" s="8" t="s">
        <v>247</v>
      </c>
      <c r="D97" s="8" t="s">
        <v>34</v>
      </c>
      <c r="E97" s="16" t="s">
        <v>39</v>
      </c>
      <c r="F97" s="8" t="s">
        <v>231</v>
      </c>
      <c r="G97" s="7">
        <v>0</v>
      </c>
      <c r="H97" s="9">
        <v>45016</v>
      </c>
      <c r="I97" s="10">
        <f t="shared" si="18"/>
        <v>3</v>
      </c>
      <c r="J97" s="10" t="s">
        <v>40</v>
      </c>
      <c r="K97" s="10" t="s">
        <v>40</v>
      </c>
      <c r="L97" s="10" t="s">
        <v>40</v>
      </c>
      <c r="M97" s="10">
        <f t="shared" si="19"/>
        <v>0</v>
      </c>
      <c r="N97" s="10" t="s">
        <v>40</v>
      </c>
      <c r="O97" s="10" t="s">
        <v>40</v>
      </c>
      <c r="P97" s="10" t="s">
        <v>40</v>
      </c>
      <c r="Q97" s="10">
        <f t="shared" si="20"/>
        <v>0</v>
      </c>
      <c r="R97" s="11" t="str">
        <f t="shared" si="21"/>
        <v/>
      </c>
      <c r="S97" s="11" t="str">
        <f t="shared" si="22"/>
        <v/>
      </c>
      <c r="T97" s="7"/>
      <c r="U97" s="7">
        <v>6</v>
      </c>
      <c r="V97" s="7"/>
      <c r="W97" s="13">
        <f t="shared" si="23"/>
        <v>6</v>
      </c>
      <c r="X97" s="7" t="s">
        <v>248</v>
      </c>
      <c r="Y97" s="7" t="s">
        <v>249</v>
      </c>
      <c r="Z97" s="7" t="s">
        <v>52</v>
      </c>
      <c r="AA97" s="13">
        <f t="shared" si="24"/>
        <v>0</v>
      </c>
      <c r="AB97" s="11" t="str">
        <f t="shared" si="25"/>
        <v/>
      </c>
      <c r="AC97" s="11">
        <v>0</v>
      </c>
      <c r="AD97" s="11">
        <v>0</v>
      </c>
      <c r="AE97" s="11" t="str">
        <f t="shared" si="26"/>
        <v/>
      </c>
      <c r="AF97" s="11">
        <v>0</v>
      </c>
      <c r="AG97" s="11">
        <v>0</v>
      </c>
      <c r="AH97" s="11" t="str">
        <f t="shared" si="27"/>
        <v/>
      </c>
      <c r="AI97" s="32" t="s">
        <v>1347</v>
      </c>
      <c r="AJ97" s="33">
        <f t="shared" si="28"/>
        <v>3</v>
      </c>
      <c r="AK97" s="34">
        <f t="shared" si="29"/>
        <v>3</v>
      </c>
      <c r="AL97" s="32">
        <f t="shared" si="30"/>
        <v>9</v>
      </c>
      <c r="AM97" s="32">
        <f t="shared" si="31"/>
        <v>3</v>
      </c>
      <c r="AN97" s="32">
        <f t="shared" si="32"/>
        <v>3</v>
      </c>
      <c r="AO97" s="32">
        <f t="shared" si="33"/>
        <v>3</v>
      </c>
      <c r="AP97" s="32">
        <f t="shared" si="34"/>
        <v>3</v>
      </c>
      <c r="AQ97" s="15">
        <f t="shared" si="35"/>
        <v>0</v>
      </c>
    </row>
    <row r="98" spans="1:43" ht="51" x14ac:dyDescent="0.2">
      <c r="A98" s="7">
        <v>97</v>
      </c>
      <c r="B98" s="8" t="s">
        <v>250</v>
      </c>
      <c r="C98" s="8" t="s">
        <v>251</v>
      </c>
      <c r="D98" s="8" t="s">
        <v>34</v>
      </c>
      <c r="E98" s="16" t="s">
        <v>39</v>
      </c>
      <c r="F98" s="22" t="s">
        <v>245</v>
      </c>
      <c r="G98" s="7">
        <v>0</v>
      </c>
      <c r="H98" s="9">
        <v>44651</v>
      </c>
      <c r="I98" s="10">
        <f t="shared" si="18"/>
        <v>4</v>
      </c>
      <c r="J98" s="10" t="s">
        <v>40</v>
      </c>
      <c r="K98" s="10" t="s">
        <v>40</v>
      </c>
      <c r="L98" s="10" t="s">
        <v>40</v>
      </c>
      <c r="M98" s="10">
        <f t="shared" si="19"/>
        <v>0</v>
      </c>
      <c r="N98" s="10" t="s">
        <v>40</v>
      </c>
      <c r="O98" s="10" t="s">
        <v>40</v>
      </c>
      <c r="P98" s="10" t="s">
        <v>40</v>
      </c>
      <c r="Q98" s="10">
        <f t="shared" si="20"/>
        <v>0</v>
      </c>
      <c r="R98" s="11" t="str">
        <f t="shared" si="21"/>
        <v/>
      </c>
      <c r="S98" s="11" t="str">
        <f t="shared" si="22"/>
        <v/>
      </c>
      <c r="T98" s="7">
        <v>2</v>
      </c>
      <c r="U98" s="7"/>
      <c r="V98" s="7"/>
      <c r="W98" s="13">
        <f t="shared" si="23"/>
        <v>2</v>
      </c>
      <c r="X98" s="7" t="s">
        <v>47</v>
      </c>
      <c r="Y98" s="7" t="s">
        <v>48</v>
      </c>
      <c r="Z98" s="7" t="s">
        <v>85</v>
      </c>
      <c r="AA98" s="13">
        <f t="shared" si="24"/>
        <v>0</v>
      </c>
      <c r="AB98" s="11" t="str">
        <f t="shared" si="25"/>
        <v/>
      </c>
      <c r="AC98" s="11">
        <v>0</v>
      </c>
      <c r="AD98" s="11">
        <v>0</v>
      </c>
      <c r="AE98" s="11" t="str">
        <f t="shared" si="26"/>
        <v/>
      </c>
      <c r="AF98" s="11">
        <v>0</v>
      </c>
      <c r="AG98" s="11">
        <v>0</v>
      </c>
      <c r="AH98" s="11" t="str">
        <f t="shared" si="27"/>
        <v/>
      </c>
      <c r="AI98" s="32" t="s">
        <v>1347</v>
      </c>
      <c r="AJ98" s="33">
        <f t="shared" si="28"/>
        <v>3</v>
      </c>
      <c r="AK98" s="34">
        <f t="shared" si="29"/>
        <v>3</v>
      </c>
      <c r="AL98" s="32">
        <f t="shared" si="30"/>
        <v>5</v>
      </c>
      <c r="AM98" s="32">
        <f t="shared" si="31"/>
        <v>5</v>
      </c>
      <c r="AN98" s="32">
        <f t="shared" si="32"/>
        <v>3</v>
      </c>
      <c r="AO98" s="32">
        <f t="shared" si="33"/>
        <v>3</v>
      </c>
      <c r="AP98" s="32">
        <f t="shared" si="34"/>
        <v>3</v>
      </c>
      <c r="AQ98" s="15">
        <f t="shared" si="35"/>
        <v>0</v>
      </c>
    </row>
    <row r="99" spans="1:43" ht="34" x14ac:dyDescent="0.2">
      <c r="A99" s="7">
        <v>98</v>
      </c>
      <c r="B99" s="8" t="s">
        <v>252</v>
      </c>
      <c r="C99" s="8" t="s">
        <v>253</v>
      </c>
      <c r="D99" s="8" t="s">
        <v>34</v>
      </c>
      <c r="E99" s="8" t="s">
        <v>39</v>
      </c>
      <c r="F99" s="8" t="s">
        <v>36</v>
      </c>
      <c r="G99" s="22">
        <v>570983</v>
      </c>
      <c r="H99" s="9">
        <v>45747</v>
      </c>
      <c r="I99" s="10">
        <f t="shared" si="18"/>
        <v>1</v>
      </c>
      <c r="J99" s="10">
        <v>48494000</v>
      </c>
      <c r="K99" s="10">
        <v>170183000</v>
      </c>
      <c r="L99" s="10">
        <v>312216000</v>
      </c>
      <c r="M99" s="10">
        <f t="shared" si="19"/>
        <v>176964333.33333334</v>
      </c>
      <c r="N99" s="10">
        <v>48494000</v>
      </c>
      <c r="O99" s="10">
        <v>170183000</v>
      </c>
      <c r="P99" s="10">
        <v>312216000</v>
      </c>
      <c r="Q99" s="10">
        <f t="shared" si="20"/>
        <v>176964333.33333334</v>
      </c>
      <c r="R99" s="11">
        <f t="shared" si="21"/>
        <v>8.247885746796829</v>
      </c>
      <c r="S99" s="11">
        <f t="shared" si="22"/>
        <v>8.247885746796829</v>
      </c>
      <c r="T99" s="7"/>
      <c r="U99" s="7"/>
      <c r="V99" s="7">
        <v>4</v>
      </c>
      <c r="W99" s="13">
        <f t="shared" si="23"/>
        <v>4</v>
      </c>
      <c r="X99" s="7" t="s">
        <v>254</v>
      </c>
      <c r="Y99" s="7" t="s">
        <v>255</v>
      </c>
      <c r="Z99" s="7" t="s">
        <v>256</v>
      </c>
      <c r="AA99" s="13">
        <f t="shared" si="24"/>
        <v>0</v>
      </c>
      <c r="AB99" s="11" t="str">
        <f t="shared" si="25"/>
        <v/>
      </c>
      <c r="AC99" s="11">
        <v>0</v>
      </c>
      <c r="AD99" s="11">
        <v>0</v>
      </c>
      <c r="AE99" s="11" t="str">
        <f t="shared" si="26"/>
        <v/>
      </c>
      <c r="AF99" s="11">
        <v>0</v>
      </c>
      <c r="AG99" s="11">
        <v>0</v>
      </c>
      <c r="AH99" s="11" t="str">
        <f t="shared" si="27"/>
        <v/>
      </c>
      <c r="AI99" s="32" t="s">
        <v>1347</v>
      </c>
      <c r="AJ99" s="33">
        <f t="shared" si="28"/>
        <v>9</v>
      </c>
      <c r="AK99" s="34">
        <f t="shared" si="29"/>
        <v>9</v>
      </c>
      <c r="AL99" s="32">
        <f t="shared" si="30"/>
        <v>7</v>
      </c>
      <c r="AM99" s="32">
        <f t="shared" si="31"/>
        <v>3</v>
      </c>
      <c r="AN99" s="32">
        <f t="shared" si="32"/>
        <v>3</v>
      </c>
      <c r="AO99" s="32">
        <f t="shared" si="33"/>
        <v>3</v>
      </c>
      <c r="AP99" s="32">
        <f t="shared" si="34"/>
        <v>3</v>
      </c>
      <c r="AQ99" s="15">
        <f t="shared" si="35"/>
        <v>0</v>
      </c>
    </row>
    <row r="100" spans="1:43" ht="34" x14ac:dyDescent="0.2">
      <c r="A100" s="7">
        <v>99</v>
      </c>
      <c r="B100" s="8" t="s">
        <v>257</v>
      </c>
      <c r="C100" s="8" t="s">
        <v>258</v>
      </c>
      <c r="D100" s="8" t="s">
        <v>34</v>
      </c>
      <c r="E100" s="16" t="s">
        <v>39</v>
      </c>
      <c r="F100" s="23" t="s">
        <v>231</v>
      </c>
      <c r="G100" s="7" t="s">
        <v>59</v>
      </c>
      <c r="H100" s="9" t="s">
        <v>44</v>
      </c>
      <c r="I100" s="10" t="str">
        <f t="shared" si="18"/>
        <v>NA</v>
      </c>
      <c r="J100" s="10" t="s">
        <v>40</v>
      </c>
      <c r="K100" s="10" t="s">
        <v>40</v>
      </c>
      <c r="L100" s="10" t="s">
        <v>40</v>
      </c>
      <c r="M100" s="10">
        <f t="shared" si="19"/>
        <v>0</v>
      </c>
      <c r="N100" s="10" t="s">
        <v>40</v>
      </c>
      <c r="O100" s="10" t="s">
        <v>40</v>
      </c>
      <c r="P100" s="10" t="s">
        <v>40</v>
      </c>
      <c r="Q100" s="10">
        <f t="shared" si="20"/>
        <v>0</v>
      </c>
      <c r="R100" s="11" t="str">
        <f t="shared" si="21"/>
        <v/>
      </c>
      <c r="S100" s="11" t="str">
        <f t="shared" si="22"/>
        <v/>
      </c>
      <c r="T100" s="7"/>
      <c r="U100" s="7"/>
      <c r="V100" s="7"/>
      <c r="W100" s="13">
        <f t="shared" si="23"/>
        <v>0</v>
      </c>
      <c r="X100" s="7" t="s">
        <v>41</v>
      </c>
      <c r="Y100" s="7">
        <v>0</v>
      </c>
      <c r="Z100" s="7">
        <v>0</v>
      </c>
      <c r="AA100" s="13">
        <f t="shared" si="24"/>
        <v>0</v>
      </c>
      <c r="AB100" s="11" t="str">
        <f t="shared" si="25"/>
        <v/>
      </c>
      <c r="AC100" s="11">
        <v>0</v>
      </c>
      <c r="AD100" s="11">
        <v>0</v>
      </c>
      <c r="AE100" s="11" t="str">
        <f t="shared" si="26"/>
        <v/>
      </c>
      <c r="AF100" s="11">
        <v>0</v>
      </c>
      <c r="AG100" s="11">
        <v>0</v>
      </c>
      <c r="AH100" s="11" t="str">
        <f t="shared" si="27"/>
        <v/>
      </c>
      <c r="AI100" s="32" t="s">
        <v>1347</v>
      </c>
      <c r="AJ100" s="33">
        <f t="shared" si="28"/>
        <v>3</v>
      </c>
      <c r="AK100" s="34">
        <f t="shared" si="29"/>
        <v>3</v>
      </c>
      <c r="AL100" s="32">
        <f t="shared" si="30"/>
        <v>3</v>
      </c>
      <c r="AM100" s="32">
        <f t="shared" si="31"/>
        <v>9</v>
      </c>
      <c r="AN100" s="32">
        <f t="shared" si="32"/>
        <v>3</v>
      </c>
      <c r="AO100" s="32">
        <f t="shared" si="33"/>
        <v>3</v>
      </c>
      <c r="AP100" s="32">
        <f t="shared" si="34"/>
        <v>3</v>
      </c>
      <c r="AQ100" s="15">
        <f t="shared" si="35"/>
        <v>0</v>
      </c>
    </row>
    <row r="101" spans="1:43" ht="34" x14ac:dyDescent="0.2">
      <c r="A101" s="7">
        <v>100</v>
      </c>
      <c r="B101" s="24" t="s">
        <v>259</v>
      </c>
      <c r="C101" s="8" t="s">
        <v>260</v>
      </c>
      <c r="D101" s="8" t="s">
        <v>34</v>
      </c>
      <c r="E101" s="16" t="s">
        <v>39</v>
      </c>
      <c r="F101" s="8" t="s">
        <v>261</v>
      </c>
      <c r="G101" s="7" t="s">
        <v>44</v>
      </c>
      <c r="H101" s="15" t="s">
        <v>44</v>
      </c>
      <c r="I101" s="10" t="str">
        <f t="shared" si="18"/>
        <v>NA</v>
      </c>
      <c r="J101" s="10" t="s">
        <v>40</v>
      </c>
      <c r="K101" s="10" t="s">
        <v>40</v>
      </c>
      <c r="L101" s="10" t="s">
        <v>40</v>
      </c>
      <c r="M101" s="10">
        <f t="shared" si="19"/>
        <v>0</v>
      </c>
      <c r="N101" s="10" t="s">
        <v>40</v>
      </c>
      <c r="O101" s="10" t="s">
        <v>40</v>
      </c>
      <c r="P101" s="10" t="s">
        <v>40</v>
      </c>
      <c r="Q101" s="10">
        <f t="shared" si="20"/>
        <v>0</v>
      </c>
      <c r="R101" s="11" t="str">
        <f t="shared" si="21"/>
        <v/>
      </c>
      <c r="S101" s="11" t="str">
        <f t="shared" si="22"/>
        <v/>
      </c>
      <c r="T101" s="15"/>
      <c r="U101" s="15"/>
      <c r="V101" s="15"/>
      <c r="W101" s="13">
        <f t="shared" si="23"/>
        <v>0</v>
      </c>
      <c r="X101" s="7"/>
      <c r="Y101" s="7">
        <v>0</v>
      </c>
      <c r="Z101" s="7">
        <v>0</v>
      </c>
      <c r="AA101" s="13">
        <f t="shared" si="24"/>
        <v>0</v>
      </c>
      <c r="AB101" s="11" t="str">
        <f t="shared" si="25"/>
        <v/>
      </c>
      <c r="AC101" s="11">
        <v>0</v>
      </c>
      <c r="AD101" s="11">
        <v>0</v>
      </c>
      <c r="AE101" s="11" t="str">
        <f t="shared" si="26"/>
        <v/>
      </c>
      <c r="AF101" s="11">
        <v>0</v>
      </c>
      <c r="AG101" s="11">
        <v>0</v>
      </c>
      <c r="AH101" s="11" t="str">
        <f t="shared" si="27"/>
        <v/>
      </c>
      <c r="AI101" s="32" t="s">
        <v>1347</v>
      </c>
      <c r="AJ101" s="33">
        <f t="shared" si="28"/>
        <v>3</v>
      </c>
      <c r="AK101" s="34">
        <f t="shared" si="29"/>
        <v>3</v>
      </c>
      <c r="AL101" s="32">
        <f t="shared" si="30"/>
        <v>3</v>
      </c>
      <c r="AM101" s="32">
        <f t="shared" si="31"/>
        <v>9</v>
      </c>
      <c r="AN101" s="32">
        <f t="shared" si="32"/>
        <v>3</v>
      </c>
      <c r="AO101" s="32">
        <f t="shared" si="33"/>
        <v>3</v>
      </c>
      <c r="AP101" s="32">
        <f t="shared" si="34"/>
        <v>3</v>
      </c>
      <c r="AQ101" s="15">
        <f t="shared" si="35"/>
        <v>0</v>
      </c>
    </row>
    <row r="102" spans="1:43" ht="32" x14ac:dyDescent="0.2">
      <c r="A102" s="7">
        <v>101</v>
      </c>
      <c r="B102" s="15"/>
      <c r="C102" s="7" t="s">
        <v>262</v>
      </c>
      <c r="D102" s="8" t="s">
        <v>34</v>
      </c>
      <c r="E102" s="16" t="s">
        <v>39</v>
      </c>
      <c r="F102" s="15" t="s">
        <v>231</v>
      </c>
      <c r="G102" s="7" t="s">
        <v>44</v>
      </c>
      <c r="H102" s="15" t="s">
        <v>44</v>
      </c>
      <c r="I102" s="10" t="str">
        <f t="shared" si="18"/>
        <v>NA</v>
      </c>
      <c r="J102" s="10" t="s">
        <v>40</v>
      </c>
      <c r="K102" s="10" t="s">
        <v>40</v>
      </c>
      <c r="L102" s="10" t="s">
        <v>40</v>
      </c>
      <c r="M102" s="10">
        <f t="shared" si="19"/>
        <v>0</v>
      </c>
      <c r="N102" s="10" t="s">
        <v>40</v>
      </c>
      <c r="O102" s="10" t="s">
        <v>40</v>
      </c>
      <c r="P102" s="10" t="s">
        <v>40</v>
      </c>
      <c r="Q102" s="10">
        <f t="shared" si="20"/>
        <v>0</v>
      </c>
      <c r="R102" s="11" t="str">
        <f t="shared" si="21"/>
        <v/>
      </c>
      <c r="S102" s="11" t="str">
        <f t="shared" si="22"/>
        <v/>
      </c>
      <c r="T102" s="15"/>
      <c r="U102" s="15"/>
      <c r="V102" s="15"/>
      <c r="W102" s="13">
        <f t="shared" si="23"/>
        <v>0</v>
      </c>
      <c r="X102" s="7"/>
      <c r="Y102" s="7">
        <v>0</v>
      </c>
      <c r="Z102" s="7">
        <v>0</v>
      </c>
      <c r="AA102" s="13">
        <f t="shared" si="24"/>
        <v>0</v>
      </c>
      <c r="AB102" s="11" t="str">
        <f t="shared" si="25"/>
        <v/>
      </c>
      <c r="AC102" s="11">
        <v>0</v>
      </c>
      <c r="AD102" s="11">
        <v>0</v>
      </c>
      <c r="AE102" s="11" t="str">
        <f t="shared" si="26"/>
        <v/>
      </c>
      <c r="AF102" s="11">
        <v>0</v>
      </c>
      <c r="AG102" s="11">
        <v>0</v>
      </c>
      <c r="AH102" s="11" t="str">
        <f t="shared" si="27"/>
        <v/>
      </c>
      <c r="AI102" s="32" t="s">
        <v>1346</v>
      </c>
      <c r="AJ102" s="33">
        <f t="shared" si="28"/>
        <v>3</v>
      </c>
      <c r="AK102" s="34">
        <f t="shared" si="29"/>
        <v>3</v>
      </c>
      <c r="AL102" s="32">
        <f t="shared" si="30"/>
        <v>3</v>
      </c>
      <c r="AM102" s="32">
        <f t="shared" si="31"/>
        <v>9</v>
      </c>
      <c r="AN102" s="32">
        <f t="shared" si="32"/>
        <v>3</v>
      </c>
      <c r="AO102" s="32">
        <f t="shared" si="33"/>
        <v>3</v>
      </c>
      <c r="AP102" s="32">
        <f t="shared" si="34"/>
        <v>3</v>
      </c>
      <c r="AQ102" s="15">
        <f t="shared" si="35"/>
        <v>9</v>
      </c>
    </row>
    <row r="103" spans="1:43" ht="34" x14ac:dyDescent="0.2">
      <c r="A103" s="7">
        <v>102</v>
      </c>
      <c r="B103" s="8" t="s">
        <v>263</v>
      </c>
      <c r="C103" s="8" t="s">
        <v>264</v>
      </c>
      <c r="D103" s="8" t="s">
        <v>34</v>
      </c>
      <c r="E103" s="16" t="s">
        <v>39</v>
      </c>
      <c r="F103" s="8" t="s">
        <v>231</v>
      </c>
      <c r="G103" s="7" t="s">
        <v>44</v>
      </c>
      <c r="H103" s="9">
        <v>45747</v>
      </c>
      <c r="I103" s="10">
        <f t="shared" si="18"/>
        <v>1</v>
      </c>
      <c r="J103" s="10" t="s">
        <v>40</v>
      </c>
      <c r="K103" s="10" t="s">
        <v>40</v>
      </c>
      <c r="L103" s="10" t="s">
        <v>40</v>
      </c>
      <c r="M103" s="10">
        <f t="shared" si="19"/>
        <v>0</v>
      </c>
      <c r="N103" s="10" t="s">
        <v>40</v>
      </c>
      <c r="O103" s="10" t="s">
        <v>40</v>
      </c>
      <c r="P103" s="10" t="s">
        <v>40</v>
      </c>
      <c r="Q103" s="10">
        <f t="shared" si="20"/>
        <v>0</v>
      </c>
      <c r="R103" s="11" t="str">
        <f t="shared" si="21"/>
        <v/>
      </c>
      <c r="S103" s="11" t="str">
        <f t="shared" si="22"/>
        <v/>
      </c>
      <c r="T103" s="15"/>
      <c r="U103" s="15"/>
      <c r="V103" s="15"/>
      <c r="W103" s="13">
        <f t="shared" si="23"/>
        <v>0</v>
      </c>
      <c r="X103" s="7"/>
      <c r="Y103" s="7">
        <v>0</v>
      </c>
      <c r="Z103" s="7">
        <v>0</v>
      </c>
      <c r="AA103" s="13">
        <f t="shared" si="24"/>
        <v>0</v>
      </c>
      <c r="AB103" s="11" t="str">
        <f t="shared" si="25"/>
        <v/>
      </c>
      <c r="AC103" s="11">
        <v>0</v>
      </c>
      <c r="AD103" s="11">
        <v>0</v>
      </c>
      <c r="AE103" s="11" t="str">
        <f t="shared" si="26"/>
        <v/>
      </c>
      <c r="AF103" s="11">
        <v>0</v>
      </c>
      <c r="AG103" s="11">
        <v>0</v>
      </c>
      <c r="AH103" s="11" t="str">
        <f t="shared" si="27"/>
        <v/>
      </c>
      <c r="AI103" s="32" t="s">
        <v>1347</v>
      </c>
      <c r="AJ103" s="33">
        <f t="shared" si="28"/>
        <v>3</v>
      </c>
      <c r="AK103" s="34">
        <f t="shared" si="29"/>
        <v>3</v>
      </c>
      <c r="AL103" s="32">
        <f t="shared" si="30"/>
        <v>3</v>
      </c>
      <c r="AM103" s="32">
        <f t="shared" si="31"/>
        <v>3</v>
      </c>
      <c r="AN103" s="32">
        <f t="shared" si="32"/>
        <v>3</v>
      </c>
      <c r="AO103" s="32">
        <f t="shared" si="33"/>
        <v>3</v>
      </c>
      <c r="AP103" s="32">
        <f t="shared" si="34"/>
        <v>3</v>
      </c>
      <c r="AQ103" s="15">
        <f t="shared" si="35"/>
        <v>0</v>
      </c>
    </row>
    <row r="104" spans="1:43" ht="51" x14ac:dyDescent="0.2">
      <c r="A104" s="7">
        <v>103</v>
      </c>
      <c r="B104" s="7" t="s">
        <v>265</v>
      </c>
      <c r="C104" s="25" t="s">
        <v>266</v>
      </c>
      <c r="D104" s="8" t="s">
        <v>34</v>
      </c>
      <c r="E104" s="16" t="s">
        <v>39</v>
      </c>
      <c r="F104" s="8" t="s">
        <v>36</v>
      </c>
      <c r="G104" s="18">
        <v>740982</v>
      </c>
      <c r="H104" s="15" t="s">
        <v>44</v>
      </c>
      <c r="I104" s="10" t="str">
        <f t="shared" si="18"/>
        <v>NA</v>
      </c>
      <c r="J104" s="10">
        <v>0</v>
      </c>
      <c r="K104" s="10">
        <v>14630</v>
      </c>
      <c r="L104" s="10">
        <v>1402500</v>
      </c>
      <c r="M104" s="10">
        <f t="shared" si="19"/>
        <v>472376.66666666669</v>
      </c>
      <c r="N104" s="10">
        <v>6280133</v>
      </c>
      <c r="O104" s="10">
        <v>6939681</v>
      </c>
      <c r="P104" s="10">
        <v>9658686</v>
      </c>
      <c r="Q104" s="10">
        <f t="shared" si="20"/>
        <v>7626166.666666667</v>
      </c>
      <c r="R104" s="11">
        <f t="shared" si="21"/>
        <v>5.6742893566114416</v>
      </c>
      <c r="S104" s="11">
        <f t="shared" si="22"/>
        <v>6.8823063493126408</v>
      </c>
      <c r="T104" s="15"/>
      <c r="U104" s="15"/>
      <c r="V104" s="15"/>
      <c r="W104" s="13">
        <f t="shared" si="23"/>
        <v>0</v>
      </c>
      <c r="X104" s="15"/>
      <c r="Y104" s="7">
        <v>0</v>
      </c>
      <c r="Z104" s="7">
        <v>0</v>
      </c>
      <c r="AA104" s="13">
        <f t="shared" si="24"/>
        <v>0</v>
      </c>
      <c r="AB104" s="11" t="str">
        <f t="shared" si="25"/>
        <v/>
      </c>
      <c r="AC104" s="11">
        <v>0</v>
      </c>
      <c r="AD104" s="11">
        <v>0</v>
      </c>
      <c r="AE104" s="11" t="str">
        <f t="shared" si="26"/>
        <v/>
      </c>
      <c r="AF104" s="11">
        <v>0</v>
      </c>
      <c r="AG104" s="11">
        <v>0</v>
      </c>
      <c r="AH104" s="11" t="str">
        <f t="shared" si="27"/>
        <v/>
      </c>
      <c r="AI104" s="32" t="s">
        <v>1347</v>
      </c>
      <c r="AJ104" s="33">
        <f t="shared" si="28"/>
        <v>5</v>
      </c>
      <c r="AK104" s="34">
        <f t="shared" si="29"/>
        <v>3</v>
      </c>
      <c r="AL104" s="32">
        <f t="shared" si="30"/>
        <v>3</v>
      </c>
      <c r="AM104" s="32">
        <f t="shared" si="31"/>
        <v>9</v>
      </c>
      <c r="AN104" s="32">
        <f t="shared" si="32"/>
        <v>3</v>
      </c>
      <c r="AO104" s="32">
        <f t="shared" si="33"/>
        <v>3</v>
      </c>
      <c r="AP104" s="32">
        <f t="shared" si="34"/>
        <v>3</v>
      </c>
      <c r="AQ104" s="15">
        <f t="shared" si="35"/>
        <v>0</v>
      </c>
    </row>
    <row r="105" spans="1:43" ht="51" x14ac:dyDescent="0.2">
      <c r="A105" s="7">
        <v>104</v>
      </c>
      <c r="B105" s="8" t="s">
        <v>64</v>
      </c>
      <c r="C105" s="8" t="s">
        <v>159</v>
      </c>
      <c r="D105" s="8" t="s">
        <v>34</v>
      </c>
      <c r="E105" s="16" t="s">
        <v>39</v>
      </c>
      <c r="F105" s="8" t="s">
        <v>36</v>
      </c>
      <c r="G105" s="15">
        <v>670620</v>
      </c>
      <c r="H105" s="9">
        <v>45747</v>
      </c>
      <c r="I105" s="10">
        <f t="shared" si="18"/>
        <v>1</v>
      </c>
      <c r="J105" s="36">
        <v>0</v>
      </c>
      <c r="K105" s="36">
        <v>0</v>
      </c>
      <c r="L105" s="36">
        <v>0</v>
      </c>
      <c r="M105" s="10">
        <f t="shared" si="19"/>
        <v>0</v>
      </c>
      <c r="N105" s="10">
        <v>3679895</v>
      </c>
      <c r="O105" s="10">
        <v>2086641</v>
      </c>
      <c r="P105" s="10">
        <v>3752057</v>
      </c>
      <c r="Q105" s="10">
        <f t="shared" si="20"/>
        <v>3172864.3333333335</v>
      </c>
      <c r="R105" s="11" t="str">
        <f t="shared" si="21"/>
        <v/>
      </c>
      <c r="S105" s="11">
        <f t="shared" si="22"/>
        <v>6.5014516396291366</v>
      </c>
      <c r="T105" s="9"/>
      <c r="U105" s="7"/>
      <c r="V105" s="7"/>
      <c r="W105" s="13">
        <f t="shared" si="23"/>
        <v>0</v>
      </c>
      <c r="X105" s="7" t="s">
        <v>41</v>
      </c>
      <c r="Y105" s="7">
        <v>0</v>
      </c>
      <c r="Z105" s="7">
        <v>0</v>
      </c>
      <c r="AA105" s="13">
        <f t="shared" si="24"/>
        <v>0</v>
      </c>
      <c r="AB105" s="11" t="str">
        <f t="shared" si="25"/>
        <v/>
      </c>
      <c r="AC105" s="11">
        <v>0</v>
      </c>
      <c r="AD105" s="11">
        <v>0</v>
      </c>
      <c r="AE105" s="11" t="str">
        <f t="shared" si="26"/>
        <v/>
      </c>
      <c r="AF105" s="11">
        <v>0</v>
      </c>
      <c r="AG105" s="11">
        <v>0</v>
      </c>
      <c r="AH105" s="11" t="str">
        <f t="shared" si="27"/>
        <v/>
      </c>
      <c r="AI105" s="32" t="s">
        <v>1347</v>
      </c>
      <c r="AJ105" s="33">
        <f t="shared" si="28"/>
        <v>3</v>
      </c>
      <c r="AK105" s="34">
        <f t="shared" si="29"/>
        <v>3</v>
      </c>
      <c r="AL105" s="32">
        <f t="shared" si="30"/>
        <v>3</v>
      </c>
      <c r="AM105" s="32">
        <f t="shared" si="31"/>
        <v>3</v>
      </c>
      <c r="AN105" s="32">
        <f t="shared" si="32"/>
        <v>3</v>
      </c>
      <c r="AO105" s="32">
        <f t="shared" si="33"/>
        <v>3</v>
      </c>
      <c r="AP105" s="32">
        <f t="shared" si="34"/>
        <v>3</v>
      </c>
      <c r="AQ105" s="15">
        <f t="shared" si="35"/>
        <v>0</v>
      </c>
    </row>
    <row r="106" spans="1:43" ht="34" hidden="1" x14ac:dyDescent="0.2">
      <c r="A106" s="37">
        <v>105</v>
      </c>
      <c r="B106" s="38" t="s">
        <v>267</v>
      </c>
      <c r="C106" s="38" t="s">
        <v>268</v>
      </c>
      <c r="D106" s="38" t="s">
        <v>34</v>
      </c>
      <c r="E106" s="39" t="s">
        <v>269</v>
      </c>
      <c r="F106" s="38" t="s">
        <v>231</v>
      </c>
      <c r="G106" s="37">
        <v>0</v>
      </c>
      <c r="H106" s="40" t="s">
        <v>270</v>
      </c>
      <c r="I106" s="41" t="str">
        <f t="shared" si="18"/>
        <v>Beg.</v>
      </c>
      <c r="J106" s="41" t="s">
        <v>40</v>
      </c>
      <c r="K106" s="41" t="s">
        <v>40</v>
      </c>
      <c r="L106" s="41" t="s">
        <v>40</v>
      </c>
      <c r="M106">
        <v>0</v>
      </c>
      <c r="N106">
        <v>0</v>
      </c>
      <c r="O106">
        <v>0</v>
      </c>
      <c r="P106" s="41" t="s">
        <v>44</v>
      </c>
      <c r="Q106" s="41">
        <f t="array" ref="Q106">IFERROR(SUMPRODUCT((N106:P106&gt;0)*(N106:P106))/3, 0)</f>
        <v>0</v>
      </c>
      <c r="R106" s="41"/>
      <c r="S106" s="42" t="str">
        <f t="shared" si="22"/>
        <v/>
      </c>
      <c r="T106" s="40"/>
      <c r="U106" s="37"/>
      <c r="V106" s="37"/>
      <c r="W106" s="37"/>
      <c r="X106" s="37"/>
      <c r="Y106" s="37"/>
      <c r="Z106" s="43"/>
      <c r="AA106" s="43"/>
      <c r="AB106" s="42" t="str">
        <f t="shared" si="25"/>
        <v/>
      </c>
      <c r="AC106" s="42"/>
      <c r="AD106" s="42"/>
      <c r="AE106" s="42"/>
      <c r="AF106" s="42"/>
      <c r="AG106" s="42"/>
      <c r="AH106" s="42"/>
      <c r="AI106" s="42"/>
      <c r="AJ106" s="43"/>
      <c r="AK106" s="43"/>
      <c r="AL106" s="14">
        <f t="shared" si="30"/>
        <v>3</v>
      </c>
      <c r="AM106" s="42">
        <f t="shared" si="31"/>
        <v>9</v>
      </c>
      <c r="AN106" s="14">
        <f t="shared" si="32"/>
        <v>3</v>
      </c>
      <c r="AO106" s="43"/>
      <c r="AP106" s="43"/>
      <c r="AQ106" s="43"/>
    </row>
    <row r="107" spans="1:43" ht="34" hidden="1" x14ac:dyDescent="0.2">
      <c r="A107" s="7">
        <v>106</v>
      </c>
      <c r="B107" s="8" t="s">
        <v>271</v>
      </c>
      <c r="C107" s="8" t="s">
        <v>272</v>
      </c>
      <c r="D107" s="8" t="s">
        <v>34</v>
      </c>
      <c r="E107" s="19" t="s">
        <v>269</v>
      </c>
      <c r="F107" s="8" t="s">
        <v>231</v>
      </c>
      <c r="G107" s="7">
        <v>0</v>
      </c>
      <c r="H107" s="9">
        <v>39172</v>
      </c>
      <c r="I107" s="10">
        <f t="shared" si="18"/>
        <v>19</v>
      </c>
      <c r="J107" s="10" t="s">
        <v>40</v>
      </c>
      <c r="K107" s="10" t="s">
        <v>40</v>
      </c>
      <c r="L107" s="10" t="s">
        <v>40</v>
      </c>
      <c r="M107">
        <v>0</v>
      </c>
      <c r="N107">
        <v>0</v>
      </c>
      <c r="O107">
        <v>0</v>
      </c>
      <c r="P107" s="10" t="s">
        <v>44</v>
      </c>
      <c r="Q107" s="10">
        <f t="array" ref="Q107">IFERROR(SUMPRODUCT((N107:P107&gt;0)*(N107:P107))/3, 0)</f>
        <v>0</v>
      </c>
      <c r="R107" s="10"/>
      <c r="S107" s="11" t="str">
        <f t="shared" si="22"/>
        <v/>
      </c>
      <c r="T107" s="9"/>
      <c r="U107" s="7"/>
      <c r="V107" s="7"/>
      <c r="W107" s="7"/>
      <c r="X107" s="7"/>
      <c r="Y107" s="7"/>
      <c r="Z107" s="15"/>
      <c r="AA107" s="15"/>
      <c r="AB107" s="11" t="str">
        <f t="shared" si="25"/>
        <v/>
      </c>
      <c r="AC107" s="11"/>
      <c r="AD107" s="11"/>
      <c r="AE107" s="11"/>
      <c r="AF107" s="11"/>
      <c r="AG107" s="11"/>
      <c r="AH107" s="11"/>
      <c r="AI107" s="11"/>
      <c r="AJ107" s="15"/>
      <c r="AK107" s="15"/>
      <c r="AL107" s="14">
        <f t="shared" si="30"/>
        <v>3</v>
      </c>
      <c r="AM107" s="11">
        <f t="shared" si="31"/>
        <v>9</v>
      </c>
      <c r="AN107" s="14">
        <f t="shared" si="32"/>
        <v>3</v>
      </c>
      <c r="AO107" s="15"/>
      <c r="AP107" s="15"/>
      <c r="AQ107" s="15"/>
    </row>
    <row r="108" spans="1:43" ht="34" hidden="1" x14ac:dyDescent="0.2">
      <c r="A108" s="7">
        <v>107</v>
      </c>
      <c r="B108" s="8" t="s">
        <v>273</v>
      </c>
      <c r="C108" s="8" t="s">
        <v>274</v>
      </c>
      <c r="D108" s="8" t="s">
        <v>34</v>
      </c>
      <c r="E108" s="19" t="s">
        <v>269</v>
      </c>
      <c r="F108" s="8" t="s">
        <v>231</v>
      </c>
      <c r="G108" s="7">
        <v>0</v>
      </c>
      <c r="H108" s="9">
        <v>42094</v>
      </c>
      <c r="I108" s="10">
        <f t="shared" si="18"/>
        <v>11</v>
      </c>
      <c r="J108" s="10" t="s">
        <v>40</v>
      </c>
      <c r="K108" s="10" t="s">
        <v>40</v>
      </c>
      <c r="L108" s="10" t="s">
        <v>40</v>
      </c>
      <c r="M108">
        <v>0</v>
      </c>
      <c r="N108">
        <v>0</v>
      </c>
      <c r="O108">
        <v>0</v>
      </c>
      <c r="P108" s="10" t="s">
        <v>44</v>
      </c>
      <c r="Q108" s="10">
        <f t="array" ref="Q108">IFERROR(SUMPRODUCT((N108:P108&gt;0)*(N108:P108))/3, 0)</f>
        <v>0</v>
      </c>
      <c r="R108" s="10"/>
      <c r="S108" s="11" t="str">
        <f t="shared" si="22"/>
        <v/>
      </c>
      <c r="T108" s="9"/>
      <c r="U108" s="7"/>
      <c r="V108" s="7"/>
      <c r="W108" s="7"/>
      <c r="X108" s="7"/>
      <c r="Y108" s="7"/>
      <c r="Z108" s="15"/>
      <c r="AA108" s="15"/>
      <c r="AB108" s="11" t="str">
        <f t="shared" si="25"/>
        <v/>
      </c>
      <c r="AC108" s="11"/>
      <c r="AD108" s="11"/>
      <c r="AE108" s="11"/>
      <c r="AF108" s="11"/>
      <c r="AG108" s="11"/>
      <c r="AH108" s="11"/>
      <c r="AI108" s="11"/>
      <c r="AJ108" s="15"/>
      <c r="AK108" s="15"/>
      <c r="AL108" s="14">
        <f t="shared" si="30"/>
        <v>3</v>
      </c>
      <c r="AM108" s="11">
        <f t="shared" si="31"/>
        <v>9</v>
      </c>
      <c r="AN108" s="14">
        <f t="shared" si="32"/>
        <v>3</v>
      </c>
      <c r="AO108" s="15"/>
      <c r="AP108" s="15"/>
      <c r="AQ108" s="15"/>
    </row>
    <row r="109" spans="1:43" ht="34" hidden="1" x14ac:dyDescent="0.2">
      <c r="A109" s="7">
        <v>108</v>
      </c>
      <c r="B109" s="8" t="s">
        <v>275</v>
      </c>
      <c r="C109" s="8" t="s">
        <v>276</v>
      </c>
      <c r="D109" s="8" t="s">
        <v>34</v>
      </c>
      <c r="E109" s="19" t="s">
        <v>269</v>
      </c>
      <c r="F109" s="8" t="s">
        <v>231</v>
      </c>
      <c r="G109" s="7">
        <v>0</v>
      </c>
      <c r="H109" s="9">
        <v>42825</v>
      </c>
      <c r="I109" s="10">
        <f t="shared" si="18"/>
        <v>9</v>
      </c>
      <c r="J109" s="10" t="s">
        <v>40</v>
      </c>
      <c r="K109" s="10" t="s">
        <v>40</v>
      </c>
      <c r="L109" s="10" t="s">
        <v>40</v>
      </c>
      <c r="M109">
        <v>0</v>
      </c>
      <c r="N109">
        <v>0</v>
      </c>
      <c r="O109">
        <v>0</v>
      </c>
      <c r="P109" s="10" t="s">
        <v>44</v>
      </c>
      <c r="Q109" s="10">
        <f t="array" ref="Q109">IFERROR(SUMPRODUCT((N109:P109&gt;0)*(N109:P109))/3, 0)</f>
        <v>0</v>
      </c>
      <c r="R109" s="10"/>
      <c r="S109" s="11" t="str">
        <f t="shared" si="22"/>
        <v/>
      </c>
      <c r="T109" s="9"/>
      <c r="U109" s="7"/>
      <c r="V109" s="7"/>
      <c r="W109" s="7"/>
      <c r="X109" s="7"/>
      <c r="Y109" s="7"/>
      <c r="Z109" s="15"/>
      <c r="AA109" s="15"/>
      <c r="AB109" s="11" t="str">
        <f t="shared" si="25"/>
        <v/>
      </c>
      <c r="AC109" s="11"/>
      <c r="AD109" s="11"/>
      <c r="AE109" s="11"/>
      <c r="AF109" s="11"/>
      <c r="AG109" s="11"/>
      <c r="AH109" s="11"/>
      <c r="AI109" s="11"/>
      <c r="AJ109" s="15"/>
      <c r="AK109" s="15"/>
      <c r="AL109" s="14">
        <f t="shared" si="30"/>
        <v>3</v>
      </c>
      <c r="AM109" s="11">
        <f t="shared" si="31"/>
        <v>7</v>
      </c>
      <c r="AN109" s="14">
        <f t="shared" si="32"/>
        <v>3</v>
      </c>
      <c r="AO109" s="15"/>
      <c r="AP109" s="15"/>
      <c r="AQ109" s="15"/>
    </row>
    <row r="110" spans="1:43" ht="34" hidden="1" x14ac:dyDescent="0.2">
      <c r="A110" s="7">
        <v>109</v>
      </c>
      <c r="B110" s="8" t="s">
        <v>277</v>
      </c>
      <c r="C110" s="8" t="s">
        <v>278</v>
      </c>
      <c r="D110" s="8" t="s">
        <v>34</v>
      </c>
      <c r="E110" s="19" t="s">
        <v>269</v>
      </c>
      <c r="F110" s="8" t="s">
        <v>231</v>
      </c>
      <c r="G110" s="7">
        <v>0</v>
      </c>
      <c r="H110" s="9" t="s">
        <v>270</v>
      </c>
      <c r="I110" s="10" t="str">
        <f t="shared" si="18"/>
        <v>Beg.</v>
      </c>
      <c r="J110" s="10" t="s">
        <v>40</v>
      </c>
      <c r="K110" s="10" t="s">
        <v>40</v>
      </c>
      <c r="L110" s="10" t="s">
        <v>40</v>
      </c>
      <c r="M110">
        <v>0</v>
      </c>
      <c r="N110">
        <v>0</v>
      </c>
      <c r="O110">
        <v>0</v>
      </c>
      <c r="P110" s="10" t="s">
        <v>44</v>
      </c>
      <c r="Q110" s="10">
        <f t="array" ref="Q110">IFERROR(SUMPRODUCT((N110:P110&gt;0)*(N110:P110))/3, 0)</f>
        <v>0</v>
      </c>
      <c r="R110" s="10"/>
      <c r="S110" s="11" t="str">
        <f t="shared" si="22"/>
        <v/>
      </c>
      <c r="T110" s="9"/>
      <c r="U110" s="7"/>
      <c r="V110" s="7"/>
      <c r="W110" s="7"/>
      <c r="X110" s="7"/>
      <c r="Y110" s="7"/>
      <c r="Z110" s="15"/>
      <c r="AA110" s="15"/>
      <c r="AB110" s="11" t="str">
        <f t="shared" si="25"/>
        <v/>
      </c>
      <c r="AC110" s="11"/>
      <c r="AD110" s="11"/>
      <c r="AE110" s="11"/>
      <c r="AF110" s="11"/>
      <c r="AG110" s="11"/>
      <c r="AH110" s="11"/>
      <c r="AI110" s="11"/>
      <c r="AJ110" s="15"/>
      <c r="AK110" s="15"/>
      <c r="AL110" s="14">
        <f t="shared" si="30"/>
        <v>3</v>
      </c>
      <c r="AM110" s="11">
        <f t="shared" si="31"/>
        <v>9</v>
      </c>
      <c r="AN110" s="14">
        <f t="shared" si="32"/>
        <v>3</v>
      </c>
      <c r="AO110" s="15"/>
      <c r="AP110" s="15"/>
      <c r="AQ110" s="15"/>
    </row>
    <row r="111" spans="1:43" ht="34" hidden="1" x14ac:dyDescent="0.2">
      <c r="A111" s="7">
        <v>110</v>
      </c>
      <c r="B111" s="8" t="s">
        <v>279</v>
      </c>
      <c r="C111" s="8" t="s">
        <v>280</v>
      </c>
      <c r="D111" s="8" t="s">
        <v>34</v>
      </c>
      <c r="E111" s="19" t="s">
        <v>269</v>
      </c>
      <c r="F111" s="8" t="s">
        <v>231</v>
      </c>
      <c r="G111" s="7">
        <v>0</v>
      </c>
      <c r="H111" s="9">
        <v>42460</v>
      </c>
      <c r="I111" s="10">
        <f t="shared" si="18"/>
        <v>10</v>
      </c>
      <c r="J111" s="10" t="s">
        <v>40</v>
      </c>
      <c r="K111" s="10" t="s">
        <v>40</v>
      </c>
      <c r="L111" s="10" t="s">
        <v>40</v>
      </c>
      <c r="M111">
        <v>0</v>
      </c>
      <c r="N111">
        <v>0</v>
      </c>
      <c r="O111">
        <v>0</v>
      </c>
      <c r="P111" s="10" t="s">
        <v>44</v>
      </c>
      <c r="Q111" s="10">
        <f t="array" ref="Q111">IFERROR(SUMPRODUCT((N111:P111&gt;0)*(N111:P111))/3, 0)</f>
        <v>0</v>
      </c>
      <c r="R111" s="10"/>
      <c r="S111" s="11" t="str">
        <f t="shared" si="22"/>
        <v/>
      </c>
      <c r="T111" s="9"/>
      <c r="U111" s="7"/>
      <c r="V111" s="7"/>
      <c r="W111" s="7"/>
      <c r="X111" s="7"/>
      <c r="Y111" s="7"/>
      <c r="Z111" s="15"/>
      <c r="AA111" s="15"/>
      <c r="AB111" s="11" t="str">
        <f t="shared" si="25"/>
        <v/>
      </c>
      <c r="AC111" s="11"/>
      <c r="AD111" s="11"/>
      <c r="AE111" s="11"/>
      <c r="AF111" s="11"/>
      <c r="AG111" s="11"/>
      <c r="AH111" s="11"/>
      <c r="AI111" s="11"/>
      <c r="AJ111" s="15"/>
      <c r="AK111" s="15"/>
      <c r="AL111" s="14">
        <f t="shared" si="30"/>
        <v>3</v>
      </c>
      <c r="AM111" s="11">
        <f t="shared" si="31"/>
        <v>7</v>
      </c>
      <c r="AN111" s="14">
        <f t="shared" si="32"/>
        <v>3</v>
      </c>
      <c r="AO111" s="15"/>
      <c r="AP111" s="15"/>
      <c r="AQ111" s="15"/>
    </row>
    <row r="112" spans="1:43" ht="51" hidden="1" x14ac:dyDescent="0.2">
      <c r="A112" s="7">
        <v>111</v>
      </c>
      <c r="B112" s="8" t="s">
        <v>281</v>
      </c>
      <c r="C112" s="8" t="s">
        <v>282</v>
      </c>
      <c r="D112" s="8" t="s">
        <v>34</v>
      </c>
      <c r="E112" s="19" t="s">
        <v>269</v>
      </c>
      <c r="F112" s="8" t="s">
        <v>231</v>
      </c>
      <c r="G112" s="7">
        <v>0</v>
      </c>
      <c r="H112" s="9">
        <v>39903</v>
      </c>
      <c r="I112" s="10">
        <f t="shared" si="18"/>
        <v>17</v>
      </c>
      <c r="J112" s="10" t="s">
        <v>40</v>
      </c>
      <c r="K112" s="10" t="s">
        <v>40</v>
      </c>
      <c r="L112" s="10" t="s">
        <v>40</v>
      </c>
      <c r="M112">
        <v>0</v>
      </c>
      <c r="N112">
        <v>0</v>
      </c>
      <c r="O112">
        <v>0</v>
      </c>
      <c r="P112" s="10" t="s">
        <v>44</v>
      </c>
      <c r="Q112" s="10">
        <f t="array" ref="Q112">IFERROR(SUMPRODUCT((N112:P112&gt;0)*(N112:P112))/3, 0)</f>
        <v>0</v>
      </c>
      <c r="R112" s="10"/>
      <c r="S112" s="11" t="str">
        <f t="shared" si="22"/>
        <v/>
      </c>
      <c r="T112" s="9"/>
      <c r="U112" s="7"/>
      <c r="V112" s="7"/>
      <c r="W112" s="7"/>
      <c r="X112" s="7"/>
      <c r="Y112" s="7"/>
      <c r="Z112" s="15"/>
      <c r="AA112" s="15"/>
      <c r="AB112" s="11" t="str">
        <f t="shared" si="25"/>
        <v/>
      </c>
      <c r="AC112" s="11"/>
      <c r="AD112" s="11"/>
      <c r="AE112" s="11"/>
      <c r="AF112" s="11"/>
      <c r="AG112" s="11"/>
      <c r="AH112" s="11"/>
      <c r="AI112" s="11"/>
      <c r="AJ112" s="15"/>
      <c r="AK112" s="15"/>
      <c r="AL112" s="14">
        <f t="shared" si="30"/>
        <v>3</v>
      </c>
      <c r="AM112" s="11">
        <f t="shared" si="31"/>
        <v>9</v>
      </c>
      <c r="AN112" s="14">
        <f t="shared" si="32"/>
        <v>3</v>
      </c>
      <c r="AO112" s="15"/>
      <c r="AP112" s="15"/>
      <c r="AQ112" s="15"/>
    </row>
    <row r="113" spans="1:43" ht="34" hidden="1" x14ac:dyDescent="0.2">
      <c r="A113" s="7">
        <v>112</v>
      </c>
      <c r="B113" s="8" t="s">
        <v>283</v>
      </c>
      <c r="C113" s="8" t="s">
        <v>284</v>
      </c>
      <c r="D113" s="8" t="s">
        <v>34</v>
      </c>
      <c r="E113" s="19" t="s">
        <v>269</v>
      </c>
      <c r="F113" s="8" t="s">
        <v>231</v>
      </c>
      <c r="G113" s="7">
        <v>0</v>
      </c>
      <c r="H113" s="9">
        <v>42460</v>
      </c>
      <c r="I113" s="10">
        <f t="shared" si="18"/>
        <v>10</v>
      </c>
      <c r="J113" s="10" t="s">
        <v>40</v>
      </c>
      <c r="K113" s="10" t="s">
        <v>40</v>
      </c>
      <c r="L113" s="10" t="s">
        <v>40</v>
      </c>
      <c r="M113">
        <v>0</v>
      </c>
      <c r="N113">
        <v>0</v>
      </c>
      <c r="O113">
        <v>0</v>
      </c>
      <c r="P113" s="10" t="s">
        <v>44</v>
      </c>
      <c r="Q113" s="10">
        <f t="array" ref="Q113">IFERROR(SUMPRODUCT((N113:P113&gt;0)*(N113:P113))/3, 0)</f>
        <v>0</v>
      </c>
      <c r="R113" s="10"/>
      <c r="S113" s="11" t="str">
        <f t="shared" si="22"/>
        <v/>
      </c>
      <c r="T113" s="9"/>
      <c r="U113" s="7"/>
      <c r="V113" s="7"/>
      <c r="W113" s="7"/>
      <c r="X113" s="7"/>
      <c r="Y113" s="7"/>
      <c r="Z113" s="15"/>
      <c r="AA113" s="15"/>
      <c r="AB113" s="11" t="str">
        <f t="shared" si="25"/>
        <v/>
      </c>
      <c r="AC113" s="11"/>
      <c r="AD113" s="11"/>
      <c r="AE113" s="11"/>
      <c r="AF113" s="11"/>
      <c r="AG113" s="11"/>
      <c r="AH113" s="11"/>
      <c r="AI113" s="11"/>
      <c r="AJ113" s="15"/>
      <c r="AK113" s="15"/>
      <c r="AL113" s="14">
        <f t="shared" si="30"/>
        <v>3</v>
      </c>
      <c r="AM113" s="11">
        <f t="shared" si="31"/>
        <v>7</v>
      </c>
      <c r="AN113" s="14">
        <f t="shared" si="32"/>
        <v>3</v>
      </c>
      <c r="AO113" s="15"/>
      <c r="AP113" s="15"/>
      <c r="AQ113" s="15"/>
    </row>
    <row r="114" spans="1:43" ht="34" hidden="1" x14ac:dyDescent="0.2">
      <c r="A114" s="7">
        <v>113</v>
      </c>
      <c r="B114" s="8" t="s">
        <v>285</v>
      </c>
      <c r="C114" s="8" t="s">
        <v>286</v>
      </c>
      <c r="D114" s="8" t="s">
        <v>34</v>
      </c>
      <c r="E114" s="19" t="s">
        <v>269</v>
      </c>
      <c r="F114" s="8" t="s">
        <v>231</v>
      </c>
      <c r="G114" s="7">
        <v>0</v>
      </c>
      <c r="H114" s="9" t="s">
        <v>270</v>
      </c>
      <c r="I114" s="10" t="str">
        <f t="shared" si="18"/>
        <v>Beg.</v>
      </c>
      <c r="J114" s="10" t="s">
        <v>40</v>
      </c>
      <c r="K114" s="10" t="s">
        <v>40</v>
      </c>
      <c r="L114" s="10" t="s">
        <v>40</v>
      </c>
      <c r="M114">
        <v>0</v>
      </c>
      <c r="N114">
        <v>0</v>
      </c>
      <c r="O114">
        <v>0</v>
      </c>
      <c r="P114" s="10" t="s">
        <v>44</v>
      </c>
      <c r="Q114" s="10">
        <f t="array" ref="Q114">IFERROR(SUMPRODUCT((N114:P114&gt;0)*(N114:P114))/3, 0)</f>
        <v>0</v>
      </c>
      <c r="R114" s="10"/>
      <c r="S114" s="11" t="str">
        <f t="shared" si="22"/>
        <v/>
      </c>
      <c r="T114" s="9"/>
      <c r="U114" s="7"/>
      <c r="V114" s="7"/>
      <c r="W114" s="7"/>
      <c r="X114" s="7"/>
      <c r="Y114" s="7"/>
      <c r="Z114" s="15"/>
      <c r="AA114" s="15"/>
      <c r="AB114" s="11" t="str">
        <f t="shared" si="25"/>
        <v/>
      </c>
      <c r="AC114" s="11"/>
      <c r="AD114" s="11"/>
      <c r="AE114" s="11"/>
      <c r="AF114" s="11"/>
      <c r="AG114" s="11"/>
      <c r="AH114" s="11"/>
      <c r="AI114" s="11"/>
      <c r="AJ114" s="15"/>
      <c r="AK114" s="15"/>
      <c r="AL114" s="14">
        <f t="shared" si="30"/>
        <v>3</v>
      </c>
      <c r="AM114" s="11">
        <f t="shared" si="31"/>
        <v>9</v>
      </c>
      <c r="AN114" s="14">
        <f t="shared" si="32"/>
        <v>3</v>
      </c>
      <c r="AO114" s="15"/>
      <c r="AP114" s="15"/>
      <c r="AQ114" s="15"/>
    </row>
    <row r="115" spans="1:43" ht="34" hidden="1" x14ac:dyDescent="0.2">
      <c r="A115" s="7">
        <v>114</v>
      </c>
      <c r="B115" s="8" t="s">
        <v>287</v>
      </c>
      <c r="C115" s="8" t="s">
        <v>288</v>
      </c>
      <c r="D115" s="8" t="s">
        <v>34</v>
      </c>
      <c r="E115" s="19" t="s">
        <v>269</v>
      </c>
      <c r="F115" s="8" t="s">
        <v>231</v>
      </c>
      <c r="G115" s="7">
        <v>0</v>
      </c>
      <c r="H115" s="9">
        <v>41364</v>
      </c>
      <c r="I115" s="10">
        <f t="shared" si="18"/>
        <v>13</v>
      </c>
      <c r="J115" s="10" t="s">
        <v>40</v>
      </c>
      <c r="K115" s="10" t="s">
        <v>40</v>
      </c>
      <c r="L115" s="10" t="s">
        <v>40</v>
      </c>
      <c r="M115">
        <v>0</v>
      </c>
      <c r="N115">
        <v>0</v>
      </c>
      <c r="O115">
        <v>0</v>
      </c>
      <c r="P115" s="10" t="s">
        <v>44</v>
      </c>
      <c r="Q115" s="10">
        <f t="array" ref="Q115">IFERROR(SUMPRODUCT((N115:P115&gt;0)*(N115:P115))/3, 0)</f>
        <v>0</v>
      </c>
      <c r="R115" s="10"/>
      <c r="S115" s="11" t="str">
        <f t="shared" si="22"/>
        <v/>
      </c>
      <c r="T115" s="9"/>
      <c r="U115" s="7"/>
      <c r="V115" s="7"/>
      <c r="W115" s="7"/>
      <c r="X115" s="7"/>
      <c r="Y115" s="7"/>
      <c r="Z115" s="15"/>
      <c r="AA115" s="15"/>
      <c r="AB115" s="11" t="str">
        <f t="shared" si="25"/>
        <v/>
      </c>
      <c r="AC115" s="11"/>
      <c r="AD115" s="11"/>
      <c r="AE115" s="11"/>
      <c r="AF115" s="11"/>
      <c r="AG115" s="11"/>
      <c r="AH115" s="11"/>
      <c r="AI115" s="11"/>
      <c r="AJ115" s="15"/>
      <c r="AK115" s="15"/>
      <c r="AL115" s="14">
        <f t="shared" si="30"/>
        <v>3</v>
      </c>
      <c r="AM115" s="11">
        <f t="shared" si="31"/>
        <v>9</v>
      </c>
      <c r="AN115" s="14">
        <f t="shared" si="32"/>
        <v>3</v>
      </c>
      <c r="AO115" s="15"/>
      <c r="AP115" s="15"/>
      <c r="AQ115" s="15"/>
    </row>
    <row r="116" spans="1:43" ht="34" hidden="1" x14ac:dyDescent="0.2">
      <c r="A116" s="7">
        <v>115</v>
      </c>
      <c r="B116" s="8" t="s">
        <v>289</v>
      </c>
      <c r="C116" s="8" t="s">
        <v>290</v>
      </c>
      <c r="D116" s="8" t="s">
        <v>34</v>
      </c>
      <c r="E116" s="19" t="s">
        <v>269</v>
      </c>
      <c r="F116" s="8" t="s">
        <v>231</v>
      </c>
      <c r="G116" s="7">
        <v>0</v>
      </c>
      <c r="H116" s="26">
        <v>39538</v>
      </c>
      <c r="I116" s="10">
        <f t="shared" si="18"/>
        <v>18</v>
      </c>
      <c r="J116" s="10" t="s">
        <v>40</v>
      </c>
      <c r="K116" s="10" t="s">
        <v>40</v>
      </c>
      <c r="L116" s="10" t="s">
        <v>40</v>
      </c>
      <c r="M116">
        <v>0</v>
      </c>
      <c r="N116">
        <v>0</v>
      </c>
      <c r="O116">
        <v>0</v>
      </c>
      <c r="P116" s="10" t="s">
        <v>44</v>
      </c>
      <c r="Q116" s="10">
        <f t="array" ref="Q116">IFERROR(SUMPRODUCT((N116:P116&gt;0)*(N116:P116))/3, 0)</f>
        <v>0</v>
      </c>
      <c r="R116" s="10"/>
      <c r="S116" s="11" t="str">
        <f t="shared" si="22"/>
        <v/>
      </c>
      <c r="T116" s="9"/>
      <c r="U116" s="7"/>
      <c r="V116" s="7"/>
      <c r="W116" s="7"/>
      <c r="X116" s="7"/>
      <c r="Y116" s="7"/>
      <c r="Z116" s="15"/>
      <c r="AA116" s="15"/>
      <c r="AB116" s="11" t="str">
        <f t="shared" si="25"/>
        <v/>
      </c>
      <c r="AC116" s="11"/>
      <c r="AD116" s="11"/>
      <c r="AE116" s="11"/>
      <c r="AF116" s="11"/>
      <c r="AG116" s="11"/>
      <c r="AH116" s="11"/>
      <c r="AI116" s="11"/>
      <c r="AJ116" s="15"/>
      <c r="AK116" s="15"/>
      <c r="AL116" s="14">
        <f t="shared" si="30"/>
        <v>3</v>
      </c>
      <c r="AM116" s="11">
        <f t="shared" si="31"/>
        <v>9</v>
      </c>
      <c r="AN116" s="14">
        <f t="shared" si="32"/>
        <v>3</v>
      </c>
      <c r="AO116" s="15"/>
      <c r="AP116" s="15"/>
      <c r="AQ116" s="15"/>
    </row>
    <row r="117" spans="1:43" ht="34" hidden="1" x14ac:dyDescent="0.2">
      <c r="A117" s="7">
        <v>116</v>
      </c>
      <c r="B117" s="8" t="s">
        <v>291</v>
      </c>
      <c r="C117" s="8" t="s">
        <v>292</v>
      </c>
      <c r="D117" s="8" t="s">
        <v>34</v>
      </c>
      <c r="E117" s="19" t="s">
        <v>269</v>
      </c>
      <c r="F117" s="8" t="s">
        <v>231</v>
      </c>
      <c r="G117" s="7">
        <v>0</v>
      </c>
      <c r="H117" s="26">
        <v>39538</v>
      </c>
      <c r="I117" s="10">
        <f t="shared" si="18"/>
        <v>18</v>
      </c>
      <c r="J117" s="10" t="s">
        <v>40</v>
      </c>
      <c r="K117" s="10" t="s">
        <v>40</v>
      </c>
      <c r="L117" s="10" t="s">
        <v>40</v>
      </c>
      <c r="M117">
        <v>0</v>
      </c>
      <c r="N117">
        <v>0</v>
      </c>
      <c r="O117">
        <v>0</v>
      </c>
      <c r="P117" s="10" t="s">
        <v>44</v>
      </c>
      <c r="Q117" s="10">
        <f t="array" ref="Q117">IFERROR(SUMPRODUCT((N117:P117&gt;0)*(N117:P117))/3, 0)</f>
        <v>0</v>
      </c>
      <c r="R117" s="10"/>
      <c r="S117" s="11" t="str">
        <f t="shared" si="22"/>
        <v/>
      </c>
      <c r="T117" s="9"/>
      <c r="U117" s="7"/>
      <c r="V117" s="7"/>
      <c r="W117" s="7"/>
      <c r="X117" s="7"/>
      <c r="Y117" s="7"/>
      <c r="Z117" s="15"/>
      <c r="AA117" s="15"/>
      <c r="AB117" s="11" t="str">
        <f t="shared" si="25"/>
        <v/>
      </c>
      <c r="AC117" s="11"/>
      <c r="AD117" s="11"/>
      <c r="AE117" s="11"/>
      <c r="AF117" s="11"/>
      <c r="AG117" s="11"/>
      <c r="AH117" s="11"/>
      <c r="AI117" s="11"/>
      <c r="AJ117" s="15"/>
      <c r="AK117" s="15"/>
      <c r="AL117" s="14">
        <f t="shared" si="30"/>
        <v>3</v>
      </c>
      <c r="AM117" s="11">
        <f t="shared" si="31"/>
        <v>9</v>
      </c>
      <c r="AN117" s="14">
        <f t="shared" si="32"/>
        <v>3</v>
      </c>
      <c r="AO117" s="15"/>
      <c r="AP117" s="15"/>
      <c r="AQ117" s="15"/>
    </row>
    <row r="118" spans="1:43" ht="34" hidden="1" x14ac:dyDescent="0.2">
      <c r="A118" s="7">
        <v>117</v>
      </c>
      <c r="B118" s="8" t="s">
        <v>293</v>
      </c>
      <c r="C118" s="8" t="s">
        <v>294</v>
      </c>
      <c r="D118" s="8" t="s">
        <v>34</v>
      </c>
      <c r="E118" s="19" t="s">
        <v>269</v>
      </c>
      <c r="F118" s="8" t="s">
        <v>231</v>
      </c>
      <c r="G118" s="7">
        <v>0</v>
      </c>
      <c r="H118" s="9" t="s">
        <v>44</v>
      </c>
      <c r="I118" s="10" t="str">
        <f t="shared" si="18"/>
        <v>NA</v>
      </c>
      <c r="J118" s="10" t="s">
        <v>40</v>
      </c>
      <c r="K118" s="10" t="s">
        <v>40</v>
      </c>
      <c r="L118" s="10" t="s">
        <v>40</v>
      </c>
      <c r="M118">
        <v>0</v>
      </c>
      <c r="N118">
        <v>0</v>
      </c>
      <c r="O118">
        <v>0</v>
      </c>
      <c r="P118" s="10" t="s">
        <v>44</v>
      </c>
      <c r="Q118" s="10">
        <f t="array" ref="Q118">IFERROR(SUMPRODUCT((N118:P118&gt;0)*(N118:P118))/3, 0)</f>
        <v>0</v>
      </c>
      <c r="R118" s="10"/>
      <c r="S118" s="11" t="str">
        <f t="shared" si="22"/>
        <v/>
      </c>
      <c r="T118" s="9"/>
      <c r="U118" s="7"/>
      <c r="V118" s="7"/>
      <c r="W118" s="7"/>
      <c r="X118" s="7"/>
      <c r="Y118" s="7"/>
      <c r="Z118" s="15"/>
      <c r="AA118" s="15"/>
      <c r="AB118" s="11" t="str">
        <f t="shared" si="25"/>
        <v/>
      </c>
      <c r="AC118" s="11"/>
      <c r="AD118" s="11"/>
      <c r="AE118" s="11"/>
      <c r="AF118" s="11"/>
      <c r="AG118" s="11"/>
      <c r="AH118" s="11"/>
      <c r="AI118" s="11"/>
      <c r="AJ118" s="15"/>
      <c r="AK118" s="15"/>
      <c r="AL118" s="14">
        <f t="shared" si="30"/>
        <v>3</v>
      </c>
      <c r="AM118" s="11">
        <f t="shared" si="31"/>
        <v>9</v>
      </c>
      <c r="AN118" s="14">
        <f t="shared" si="32"/>
        <v>3</v>
      </c>
      <c r="AO118" s="15"/>
      <c r="AP118" s="15"/>
      <c r="AQ118" s="15"/>
    </row>
    <row r="119" spans="1:43" ht="34" hidden="1" x14ac:dyDescent="0.2">
      <c r="A119" s="7">
        <v>118</v>
      </c>
      <c r="B119" s="8" t="s">
        <v>295</v>
      </c>
      <c r="C119" s="8" t="s">
        <v>296</v>
      </c>
      <c r="D119" s="8" t="s">
        <v>34</v>
      </c>
      <c r="E119" s="19" t="s">
        <v>269</v>
      </c>
      <c r="F119" s="8" t="s">
        <v>231</v>
      </c>
      <c r="G119" s="7">
        <v>0</v>
      </c>
      <c r="H119" s="9">
        <v>42094</v>
      </c>
      <c r="I119" s="10">
        <f t="shared" si="18"/>
        <v>11</v>
      </c>
      <c r="J119" s="10" t="s">
        <v>40</v>
      </c>
      <c r="K119" s="10" t="s">
        <v>40</v>
      </c>
      <c r="L119" s="10" t="s">
        <v>40</v>
      </c>
      <c r="M119">
        <v>0</v>
      </c>
      <c r="N119">
        <v>0</v>
      </c>
      <c r="O119">
        <v>0</v>
      </c>
      <c r="P119" s="10" t="s">
        <v>44</v>
      </c>
      <c r="Q119" s="10">
        <f t="array" ref="Q119">IFERROR(SUMPRODUCT((N119:P119&gt;0)*(N119:P119))/3, 0)</f>
        <v>0</v>
      </c>
      <c r="R119" s="10"/>
      <c r="S119" s="11" t="str">
        <f t="shared" si="22"/>
        <v/>
      </c>
      <c r="T119" s="9"/>
      <c r="U119" s="7"/>
      <c r="V119" s="7"/>
      <c r="W119" s="7"/>
      <c r="X119" s="7"/>
      <c r="Y119" s="7"/>
      <c r="Z119" s="15"/>
      <c r="AA119" s="15"/>
      <c r="AB119" s="11" t="str">
        <f t="shared" si="25"/>
        <v/>
      </c>
      <c r="AC119" s="11"/>
      <c r="AD119" s="11"/>
      <c r="AE119" s="11"/>
      <c r="AF119" s="11"/>
      <c r="AG119" s="11"/>
      <c r="AH119" s="11"/>
      <c r="AI119" s="11"/>
      <c r="AJ119" s="15"/>
      <c r="AK119" s="15"/>
      <c r="AL119" s="14">
        <f t="shared" si="30"/>
        <v>3</v>
      </c>
      <c r="AM119" s="11">
        <f t="shared" si="31"/>
        <v>9</v>
      </c>
      <c r="AN119" s="14">
        <f t="shared" si="32"/>
        <v>3</v>
      </c>
      <c r="AO119" s="15"/>
      <c r="AP119" s="15"/>
      <c r="AQ119" s="15"/>
    </row>
    <row r="120" spans="1:43" ht="51" hidden="1" x14ac:dyDescent="0.2">
      <c r="A120" s="7">
        <v>119</v>
      </c>
      <c r="B120" s="8" t="s">
        <v>297</v>
      </c>
      <c r="C120" s="8" t="s">
        <v>298</v>
      </c>
      <c r="D120" s="8" t="s">
        <v>34</v>
      </c>
      <c r="E120" s="19" t="s">
        <v>269</v>
      </c>
      <c r="F120" s="8" t="s">
        <v>231</v>
      </c>
      <c r="G120" s="7">
        <v>0</v>
      </c>
      <c r="H120" s="9">
        <v>42460</v>
      </c>
      <c r="I120" s="10">
        <f t="shared" si="18"/>
        <v>10</v>
      </c>
      <c r="J120" s="10" t="s">
        <v>40</v>
      </c>
      <c r="K120" s="10" t="s">
        <v>40</v>
      </c>
      <c r="L120" s="10" t="s">
        <v>40</v>
      </c>
      <c r="M120">
        <v>0</v>
      </c>
      <c r="N120">
        <v>0</v>
      </c>
      <c r="O120">
        <v>0</v>
      </c>
      <c r="P120" s="10" t="s">
        <v>44</v>
      </c>
      <c r="Q120" s="10">
        <f t="array" ref="Q120">IFERROR(SUMPRODUCT((N120:P120&gt;0)*(N120:P120))/3, 0)</f>
        <v>0</v>
      </c>
      <c r="R120" s="10"/>
      <c r="S120" s="11" t="str">
        <f t="shared" si="22"/>
        <v/>
      </c>
      <c r="T120" s="9"/>
      <c r="U120" s="7"/>
      <c r="V120" s="7"/>
      <c r="W120" s="7"/>
      <c r="X120" s="7"/>
      <c r="Y120" s="7"/>
      <c r="Z120" s="15"/>
      <c r="AA120" s="15"/>
      <c r="AB120" s="11" t="str">
        <f t="shared" si="25"/>
        <v/>
      </c>
      <c r="AC120" s="11"/>
      <c r="AD120" s="11"/>
      <c r="AE120" s="11"/>
      <c r="AF120" s="11"/>
      <c r="AG120" s="11"/>
      <c r="AH120" s="11"/>
      <c r="AI120" s="11"/>
      <c r="AJ120" s="15"/>
      <c r="AK120" s="15"/>
      <c r="AL120" s="14">
        <f t="shared" si="30"/>
        <v>3</v>
      </c>
      <c r="AM120" s="11">
        <f t="shared" si="31"/>
        <v>7</v>
      </c>
      <c r="AN120" s="14">
        <f t="shared" si="32"/>
        <v>3</v>
      </c>
      <c r="AO120" s="15"/>
      <c r="AP120" s="15"/>
      <c r="AQ120" s="15"/>
    </row>
    <row r="121" spans="1:43" ht="34" hidden="1" x14ac:dyDescent="0.2">
      <c r="A121" s="7">
        <v>120</v>
      </c>
      <c r="B121" s="8" t="s">
        <v>299</v>
      </c>
      <c r="C121" s="8" t="s">
        <v>300</v>
      </c>
      <c r="D121" s="8" t="s">
        <v>34</v>
      </c>
      <c r="E121" s="19" t="s">
        <v>269</v>
      </c>
      <c r="F121" s="8" t="s">
        <v>231</v>
      </c>
      <c r="G121" s="7">
        <v>0</v>
      </c>
      <c r="H121" s="9">
        <v>45747</v>
      </c>
      <c r="I121" s="10">
        <f t="shared" si="18"/>
        <v>1</v>
      </c>
      <c r="J121" s="10" t="s">
        <v>40</v>
      </c>
      <c r="K121" s="10" t="s">
        <v>40</v>
      </c>
      <c r="L121" s="10" t="s">
        <v>40</v>
      </c>
      <c r="M121">
        <v>0</v>
      </c>
      <c r="N121">
        <v>0</v>
      </c>
      <c r="O121">
        <v>0</v>
      </c>
      <c r="P121" s="10" t="s">
        <v>44</v>
      </c>
      <c r="Q121" s="10">
        <f t="array" ref="Q121">IFERROR(SUMPRODUCT((N121:P121&gt;0)*(N121:P121))/3, 0)</f>
        <v>0</v>
      </c>
      <c r="R121" s="10"/>
      <c r="S121" s="11" t="str">
        <f t="shared" si="22"/>
        <v/>
      </c>
      <c r="T121" s="9"/>
      <c r="U121" s="7"/>
      <c r="V121" s="7"/>
      <c r="W121" s="7"/>
      <c r="X121" s="7"/>
      <c r="Y121" s="7"/>
      <c r="Z121" s="15"/>
      <c r="AA121" s="15"/>
      <c r="AB121" s="11" t="str">
        <f t="shared" si="25"/>
        <v/>
      </c>
      <c r="AC121" s="11"/>
      <c r="AD121" s="11"/>
      <c r="AE121" s="11"/>
      <c r="AF121" s="11"/>
      <c r="AG121" s="11"/>
      <c r="AH121" s="11"/>
      <c r="AI121" s="11"/>
      <c r="AJ121" s="15"/>
      <c r="AK121" s="15"/>
      <c r="AL121" s="14">
        <f t="shared" si="30"/>
        <v>3</v>
      </c>
      <c r="AM121" s="11">
        <f t="shared" si="31"/>
        <v>3</v>
      </c>
      <c r="AN121" s="14">
        <f t="shared" si="32"/>
        <v>3</v>
      </c>
      <c r="AO121" s="15"/>
      <c r="AP121" s="15"/>
      <c r="AQ121" s="15"/>
    </row>
    <row r="122" spans="1:43" ht="34" hidden="1" x14ac:dyDescent="0.2">
      <c r="A122" s="7">
        <v>121</v>
      </c>
      <c r="B122" s="8" t="s">
        <v>301</v>
      </c>
      <c r="C122" s="8" t="s">
        <v>302</v>
      </c>
      <c r="D122" s="8" t="s">
        <v>34</v>
      </c>
      <c r="E122" s="19" t="s">
        <v>269</v>
      </c>
      <c r="F122" s="8" t="s">
        <v>231</v>
      </c>
      <c r="G122" s="7">
        <v>0</v>
      </c>
      <c r="H122" s="9" t="s">
        <v>270</v>
      </c>
      <c r="I122" s="10" t="str">
        <f t="shared" si="18"/>
        <v>Beg.</v>
      </c>
      <c r="J122" s="10" t="s">
        <v>40</v>
      </c>
      <c r="K122" s="10" t="s">
        <v>40</v>
      </c>
      <c r="L122" s="10" t="s">
        <v>40</v>
      </c>
      <c r="M122">
        <v>0</v>
      </c>
      <c r="N122">
        <v>0</v>
      </c>
      <c r="O122">
        <v>0</v>
      </c>
      <c r="P122" s="10" t="s">
        <v>44</v>
      </c>
      <c r="Q122" s="10">
        <f t="array" ref="Q122">IFERROR(SUMPRODUCT((N122:P122&gt;0)*(N122:P122))/3, 0)</f>
        <v>0</v>
      </c>
      <c r="R122" s="10"/>
      <c r="S122" s="11" t="str">
        <f t="shared" si="22"/>
        <v/>
      </c>
      <c r="T122" s="9"/>
      <c r="U122" s="7"/>
      <c r="V122" s="7"/>
      <c r="W122" s="7"/>
      <c r="X122" s="7"/>
      <c r="Y122" s="7"/>
      <c r="Z122" s="15"/>
      <c r="AA122" s="15"/>
      <c r="AB122" s="11" t="str">
        <f t="shared" si="25"/>
        <v/>
      </c>
      <c r="AC122" s="11"/>
      <c r="AD122" s="11"/>
      <c r="AE122" s="11"/>
      <c r="AF122" s="11"/>
      <c r="AG122" s="11"/>
      <c r="AH122" s="11"/>
      <c r="AI122" s="11"/>
      <c r="AJ122" s="15"/>
      <c r="AK122" s="15"/>
      <c r="AL122" s="14">
        <f t="shared" si="30"/>
        <v>3</v>
      </c>
      <c r="AM122" s="11">
        <f t="shared" si="31"/>
        <v>9</v>
      </c>
      <c r="AN122" s="14">
        <f t="shared" si="32"/>
        <v>3</v>
      </c>
      <c r="AO122" s="15"/>
      <c r="AP122" s="15"/>
      <c r="AQ122" s="15"/>
    </row>
    <row r="123" spans="1:43" ht="51" hidden="1" x14ac:dyDescent="0.2">
      <c r="A123" s="7">
        <v>122</v>
      </c>
      <c r="B123" s="8" t="s">
        <v>303</v>
      </c>
      <c r="C123" s="8" t="s">
        <v>304</v>
      </c>
      <c r="D123" s="8" t="s">
        <v>34</v>
      </c>
      <c r="E123" s="19" t="s">
        <v>269</v>
      </c>
      <c r="F123" s="8" t="s">
        <v>231</v>
      </c>
      <c r="G123" s="7">
        <v>0</v>
      </c>
      <c r="H123" s="9" t="s">
        <v>270</v>
      </c>
      <c r="I123" s="10" t="str">
        <f t="shared" si="18"/>
        <v>Beg.</v>
      </c>
      <c r="J123" s="10" t="s">
        <v>40</v>
      </c>
      <c r="K123" s="10" t="s">
        <v>40</v>
      </c>
      <c r="L123" s="10" t="s">
        <v>40</v>
      </c>
      <c r="M123">
        <v>0</v>
      </c>
      <c r="N123">
        <v>0</v>
      </c>
      <c r="O123">
        <v>0</v>
      </c>
      <c r="P123" s="10" t="s">
        <v>44</v>
      </c>
      <c r="Q123" s="10">
        <f t="array" ref="Q123">IFERROR(SUMPRODUCT((N123:P123&gt;0)*(N123:P123))/3, 0)</f>
        <v>0</v>
      </c>
      <c r="R123" s="10"/>
      <c r="S123" s="11" t="str">
        <f t="shared" si="22"/>
        <v/>
      </c>
      <c r="T123" s="9"/>
      <c r="U123" s="7"/>
      <c r="V123" s="7"/>
      <c r="W123" s="7"/>
      <c r="X123" s="7"/>
      <c r="Y123" s="7"/>
      <c r="Z123" s="15"/>
      <c r="AA123" s="15"/>
      <c r="AB123" s="11" t="str">
        <f t="shared" si="25"/>
        <v/>
      </c>
      <c r="AC123" s="11"/>
      <c r="AD123" s="11"/>
      <c r="AE123" s="11"/>
      <c r="AF123" s="11"/>
      <c r="AG123" s="11"/>
      <c r="AH123" s="11"/>
      <c r="AI123" s="11"/>
      <c r="AJ123" s="15"/>
      <c r="AK123" s="15"/>
      <c r="AL123" s="14">
        <f t="shared" si="30"/>
        <v>3</v>
      </c>
      <c r="AM123" s="11">
        <f t="shared" si="31"/>
        <v>9</v>
      </c>
      <c r="AN123" s="14">
        <f t="shared" si="32"/>
        <v>3</v>
      </c>
      <c r="AO123" s="15"/>
      <c r="AP123" s="15"/>
      <c r="AQ123" s="15"/>
    </row>
    <row r="124" spans="1:43" ht="34" hidden="1" x14ac:dyDescent="0.2">
      <c r="A124" s="7">
        <v>123</v>
      </c>
      <c r="B124" s="8" t="s">
        <v>305</v>
      </c>
      <c r="C124" s="8" t="s">
        <v>306</v>
      </c>
      <c r="D124" s="8" t="s">
        <v>34</v>
      </c>
      <c r="E124" s="19" t="s">
        <v>269</v>
      </c>
      <c r="F124" s="8" t="s">
        <v>231</v>
      </c>
      <c r="G124" s="7">
        <v>0</v>
      </c>
      <c r="H124" s="9">
        <v>45747</v>
      </c>
      <c r="I124" s="10">
        <f t="shared" si="18"/>
        <v>1</v>
      </c>
      <c r="J124" s="10" t="s">
        <v>40</v>
      </c>
      <c r="K124" s="10" t="s">
        <v>40</v>
      </c>
      <c r="L124" s="10" t="s">
        <v>40</v>
      </c>
      <c r="M124">
        <v>0</v>
      </c>
      <c r="N124">
        <v>0</v>
      </c>
      <c r="O124">
        <v>0</v>
      </c>
      <c r="P124" s="10" t="s">
        <v>44</v>
      </c>
      <c r="Q124" s="10">
        <f t="array" ref="Q124">IFERROR(SUMPRODUCT((N124:P124&gt;0)*(N124:P124))/3, 0)</f>
        <v>0</v>
      </c>
      <c r="R124" s="10"/>
      <c r="S124" s="11" t="str">
        <f t="shared" si="22"/>
        <v/>
      </c>
      <c r="T124" s="9"/>
      <c r="U124" s="7"/>
      <c r="V124" s="7"/>
      <c r="W124" s="7"/>
      <c r="X124" s="7"/>
      <c r="Y124" s="7"/>
      <c r="Z124" s="15"/>
      <c r="AA124" s="15"/>
      <c r="AB124" s="11" t="str">
        <f t="shared" si="25"/>
        <v/>
      </c>
      <c r="AC124" s="11"/>
      <c r="AD124" s="11"/>
      <c r="AE124" s="11"/>
      <c r="AF124" s="11"/>
      <c r="AG124" s="11"/>
      <c r="AH124" s="11"/>
      <c r="AI124" s="11"/>
      <c r="AJ124" s="15"/>
      <c r="AK124" s="15"/>
      <c r="AL124" s="14">
        <f t="shared" si="30"/>
        <v>3</v>
      </c>
      <c r="AM124" s="11">
        <f t="shared" si="31"/>
        <v>3</v>
      </c>
      <c r="AN124" s="14">
        <f t="shared" si="32"/>
        <v>3</v>
      </c>
      <c r="AO124" s="15"/>
      <c r="AP124" s="15"/>
      <c r="AQ124" s="15"/>
    </row>
    <row r="125" spans="1:43" ht="34" hidden="1" x14ac:dyDescent="0.2">
      <c r="A125" s="7">
        <v>124</v>
      </c>
      <c r="B125" s="8" t="s">
        <v>307</v>
      </c>
      <c r="C125" s="8" t="s">
        <v>308</v>
      </c>
      <c r="D125" s="8" t="s">
        <v>34</v>
      </c>
      <c r="E125" s="19" t="s">
        <v>269</v>
      </c>
      <c r="F125" s="8" t="s">
        <v>231</v>
      </c>
      <c r="G125" s="7">
        <v>0</v>
      </c>
      <c r="H125" s="9" t="s">
        <v>270</v>
      </c>
      <c r="I125" s="10" t="str">
        <f t="shared" si="18"/>
        <v>Beg.</v>
      </c>
      <c r="J125" s="10" t="s">
        <v>40</v>
      </c>
      <c r="K125" s="10" t="s">
        <v>40</v>
      </c>
      <c r="L125" s="10" t="s">
        <v>40</v>
      </c>
      <c r="M125">
        <v>0</v>
      </c>
      <c r="N125">
        <v>0</v>
      </c>
      <c r="O125">
        <v>0</v>
      </c>
      <c r="P125" s="10" t="s">
        <v>44</v>
      </c>
      <c r="Q125" s="10">
        <f t="array" ref="Q125">IFERROR(SUMPRODUCT((N125:P125&gt;0)*(N125:P125))/3, 0)</f>
        <v>0</v>
      </c>
      <c r="R125" s="10"/>
      <c r="S125" s="11" t="str">
        <f t="shared" si="22"/>
        <v/>
      </c>
      <c r="T125" s="9"/>
      <c r="U125" s="7"/>
      <c r="V125" s="7"/>
      <c r="W125" s="7"/>
      <c r="X125" s="7"/>
      <c r="Y125" s="7"/>
      <c r="Z125" s="15"/>
      <c r="AA125" s="15"/>
      <c r="AB125" s="11" t="str">
        <f t="shared" si="25"/>
        <v/>
      </c>
      <c r="AC125" s="11"/>
      <c r="AD125" s="11"/>
      <c r="AE125" s="11"/>
      <c r="AF125" s="11"/>
      <c r="AG125" s="11"/>
      <c r="AH125" s="11"/>
      <c r="AI125" s="11"/>
      <c r="AJ125" s="15"/>
      <c r="AK125" s="15"/>
      <c r="AL125" s="14">
        <f t="shared" si="30"/>
        <v>3</v>
      </c>
      <c r="AM125" s="11">
        <f t="shared" si="31"/>
        <v>9</v>
      </c>
      <c r="AN125" s="14">
        <f t="shared" si="32"/>
        <v>3</v>
      </c>
      <c r="AO125" s="15"/>
      <c r="AP125" s="15"/>
      <c r="AQ125" s="15"/>
    </row>
    <row r="126" spans="1:43" ht="34" hidden="1" x14ac:dyDescent="0.2">
      <c r="A126" s="7">
        <v>125</v>
      </c>
      <c r="B126" s="8" t="s">
        <v>309</v>
      </c>
      <c r="C126" s="8" t="s">
        <v>310</v>
      </c>
      <c r="D126" s="8" t="s">
        <v>34</v>
      </c>
      <c r="E126" s="19" t="s">
        <v>269</v>
      </c>
      <c r="F126" s="8" t="s">
        <v>231</v>
      </c>
      <c r="G126" s="7">
        <v>0</v>
      </c>
      <c r="H126" s="9" t="s">
        <v>270</v>
      </c>
      <c r="I126" s="10" t="str">
        <f t="shared" si="18"/>
        <v>Beg.</v>
      </c>
      <c r="J126" s="10" t="s">
        <v>40</v>
      </c>
      <c r="K126" s="10" t="s">
        <v>40</v>
      </c>
      <c r="L126" s="10" t="s">
        <v>40</v>
      </c>
      <c r="M126">
        <v>0</v>
      </c>
      <c r="N126">
        <v>0</v>
      </c>
      <c r="O126">
        <v>0</v>
      </c>
      <c r="P126" s="10" t="s">
        <v>44</v>
      </c>
      <c r="Q126" s="10">
        <f t="array" ref="Q126">IFERROR(SUMPRODUCT((N126:P126&gt;0)*(N126:P126))/3, 0)</f>
        <v>0</v>
      </c>
      <c r="R126" s="10"/>
      <c r="S126" s="11" t="str">
        <f t="shared" si="22"/>
        <v/>
      </c>
      <c r="T126" s="9"/>
      <c r="U126" s="7"/>
      <c r="V126" s="7"/>
      <c r="W126" s="7"/>
      <c r="X126" s="7"/>
      <c r="Y126" s="7"/>
      <c r="Z126" s="15"/>
      <c r="AA126" s="15"/>
      <c r="AB126" s="11" t="str">
        <f t="shared" si="25"/>
        <v/>
      </c>
      <c r="AC126" s="11"/>
      <c r="AD126" s="11"/>
      <c r="AE126" s="11"/>
      <c r="AF126" s="11"/>
      <c r="AG126" s="11"/>
      <c r="AH126" s="11"/>
      <c r="AI126" s="11"/>
      <c r="AJ126" s="15"/>
      <c r="AK126" s="15"/>
      <c r="AL126" s="14">
        <f t="shared" si="30"/>
        <v>3</v>
      </c>
      <c r="AM126" s="11">
        <f t="shared" si="31"/>
        <v>9</v>
      </c>
      <c r="AN126" s="14">
        <f t="shared" si="32"/>
        <v>3</v>
      </c>
      <c r="AO126" s="15"/>
      <c r="AP126" s="15"/>
      <c r="AQ126" s="15"/>
    </row>
    <row r="127" spans="1:43" ht="51" hidden="1" x14ac:dyDescent="0.2">
      <c r="A127" s="7">
        <v>126</v>
      </c>
      <c r="B127" s="8" t="s">
        <v>311</v>
      </c>
      <c r="C127" s="8" t="s">
        <v>312</v>
      </c>
      <c r="D127" s="8" t="s">
        <v>34</v>
      </c>
      <c r="E127" s="19" t="s">
        <v>269</v>
      </c>
      <c r="F127" s="8" t="s">
        <v>231</v>
      </c>
      <c r="G127" s="7">
        <v>0</v>
      </c>
      <c r="H127" s="9" t="s">
        <v>270</v>
      </c>
      <c r="I127" s="10" t="str">
        <f t="shared" si="18"/>
        <v>Beg.</v>
      </c>
      <c r="J127" s="10" t="s">
        <v>40</v>
      </c>
      <c r="K127" s="10" t="s">
        <v>40</v>
      </c>
      <c r="L127" s="10" t="s">
        <v>40</v>
      </c>
      <c r="M127">
        <v>0</v>
      </c>
      <c r="N127">
        <v>0</v>
      </c>
      <c r="O127">
        <v>0</v>
      </c>
      <c r="P127" s="10" t="s">
        <v>44</v>
      </c>
      <c r="Q127" s="10">
        <f t="array" ref="Q127">IFERROR(SUMPRODUCT((N127:P127&gt;0)*(N127:P127))/3, 0)</f>
        <v>0</v>
      </c>
      <c r="R127" s="10"/>
      <c r="S127" s="11" t="str">
        <f t="shared" si="22"/>
        <v/>
      </c>
      <c r="T127" s="9"/>
      <c r="U127" s="7"/>
      <c r="V127" s="7"/>
      <c r="W127" s="7"/>
      <c r="X127" s="7"/>
      <c r="Y127" s="7"/>
      <c r="Z127" s="15"/>
      <c r="AA127" s="15"/>
      <c r="AB127" s="11" t="str">
        <f t="shared" si="25"/>
        <v/>
      </c>
      <c r="AC127" s="11"/>
      <c r="AD127" s="11"/>
      <c r="AE127" s="11"/>
      <c r="AF127" s="11"/>
      <c r="AG127" s="11"/>
      <c r="AH127" s="11"/>
      <c r="AI127" s="11"/>
      <c r="AJ127" s="15"/>
      <c r="AK127" s="15"/>
      <c r="AL127" s="14">
        <f t="shared" si="30"/>
        <v>3</v>
      </c>
      <c r="AM127" s="11">
        <f t="shared" si="31"/>
        <v>9</v>
      </c>
      <c r="AN127" s="14">
        <f t="shared" si="32"/>
        <v>3</v>
      </c>
      <c r="AO127" s="15"/>
      <c r="AP127" s="15"/>
      <c r="AQ127" s="15"/>
    </row>
    <row r="128" spans="1:43" ht="51" hidden="1" x14ac:dyDescent="0.2">
      <c r="A128" s="7">
        <v>127</v>
      </c>
      <c r="B128" s="8" t="s">
        <v>313</v>
      </c>
      <c r="C128" s="8" t="s">
        <v>314</v>
      </c>
      <c r="D128" s="8" t="s">
        <v>34</v>
      </c>
      <c r="E128" s="19" t="s">
        <v>269</v>
      </c>
      <c r="F128" s="8" t="s">
        <v>231</v>
      </c>
      <c r="G128" s="7">
        <v>0</v>
      </c>
      <c r="H128" s="9" t="s">
        <v>270</v>
      </c>
      <c r="I128" s="10" t="str">
        <f t="shared" si="18"/>
        <v>Beg.</v>
      </c>
      <c r="J128" s="10" t="s">
        <v>40</v>
      </c>
      <c r="K128" s="10" t="s">
        <v>40</v>
      </c>
      <c r="L128" s="10" t="s">
        <v>40</v>
      </c>
      <c r="M128">
        <v>0</v>
      </c>
      <c r="N128">
        <v>0</v>
      </c>
      <c r="O128">
        <v>0</v>
      </c>
      <c r="P128" s="10" t="s">
        <v>44</v>
      </c>
      <c r="Q128" s="10">
        <f t="array" ref="Q128">IFERROR(SUMPRODUCT((N128:P128&gt;0)*(N128:P128))/3, 0)</f>
        <v>0</v>
      </c>
      <c r="R128" s="10"/>
      <c r="S128" s="11" t="str">
        <f t="shared" si="22"/>
        <v/>
      </c>
      <c r="T128" s="9"/>
      <c r="U128" s="7"/>
      <c r="V128" s="7"/>
      <c r="W128" s="7"/>
      <c r="X128" s="7"/>
      <c r="Y128" s="7"/>
      <c r="Z128" s="15"/>
      <c r="AA128" s="15"/>
      <c r="AB128" s="11" t="str">
        <f t="shared" si="25"/>
        <v/>
      </c>
      <c r="AC128" s="11"/>
      <c r="AD128" s="11"/>
      <c r="AE128" s="11"/>
      <c r="AF128" s="11"/>
      <c r="AG128" s="11"/>
      <c r="AH128" s="11"/>
      <c r="AI128" s="11"/>
      <c r="AJ128" s="15"/>
      <c r="AK128" s="15"/>
      <c r="AL128" s="14">
        <f t="shared" si="30"/>
        <v>3</v>
      </c>
      <c r="AM128" s="11">
        <f t="shared" si="31"/>
        <v>9</v>
      </c>
      <c r="AN128" s="14">
        <f t="shared" si="32"/>
        <v>3</v>
      </c>
      <c r="AO128" s="15"/>
      <c r="AP128" s="15"/>
      <c r="AQ128" s="15"/>
    </row>
    <row r="129" spans="1:43" ht="34" hidden="1" x14ac:dyDescent="0.2">
      <c r="A129" s="7">
        <v>128</v>
      </c>
      <c r="B129" s="8" t="s">
        <v>315</v>
      </c>
      <c r="C129" s="8" t="s">
        <v>316</v>
      </c>
      <c r="D129" s="8" t="s">
        <v>34</v>
      </c>
      <c r="E129" s="19" t="s">
        <v>269</v>
      </c>
      <c r="F129" s="8" t="s">
        <v>231</v>
      </c>
      <c r="G129" s="7">
        <v>0</v>
      </c>
      <c r="H129" s="9" t="s">
        <v>270</v>
      </c>
      <c r="I129" s="10" t="str">
        <f t="shared" si="18"/>
        <v>Beg.</v>
      </c>
      <c r="J129" s="10" t="s">
        <v>40</v>
      </c>
      <c r="K129" s="10" t="s">
        <v>40</v>
      </c>
      <c r="L129" s="10" t="s">
        <v>40</v>
      </c>
      <c r="M129">
        <v>0</v>
      </c>
      <c r="N129">
        <v>0</v>
      </c>
      <c r="O129">
        <v>0</v>
      </c>
      <c r="P129" s="10" t="s">
        <v>44</v>
      </c>
      <c r="Q129" s="10">
        <f t="array" ref="Q129">IFERROR(SUMPRODUCT((N129:P129&gt;0)*(N129:P129))/3, 0)</f>
        <v>0</v>
      </c>
      <c r="R129" s="10"/>
      <c r="S129" s="11" t="str">
        <f t="shared" si="22"/>
        <v/>
      </c>
      <c r="T129" s="9"/>
      <c r="U129" s="7"/>
      <c r="V129" s="7"/>
      <c r="W129" s="7"/>
      <c r="X129" s="7"/>
      <c r="Y129" s="7"/>
      <c r="Z129" s="15"/>
      <c r="AA129" s="15"/>
      <c r="AB129" s="11" t="str">
        <f t="shared" si="25"/>
        <v/>
      </c>
      <c r="AC129" s="11"/>
      <c r="AD129" s="11"/>
      <c r="AE129" s="11"/>
      <c r="AF129" s="11"/>
      <c r="AG129" s="11"/>
      <c r="AH129" s="11"/>
      <c r="AI129" s="11"/>
      <c r="AJ129" s="15"/>
      <c r="AK129" s="15"/>
      <c r="AL129" s="14">
        <f t="shared" si="30"/>
        <v>3</v>
      </c>
      <c r="AM129" s="11">
        <f t="shared" si="31"/>
        <v>9</v>
      </c>
      <c r="AN129" s="14">
        <f t="shared" si="32"/>
        <v>3</v>
      </c>
      <c r="AO129" s="15"/>
      <c r="AP129" s="15"/>
      <c r="AQ129" s="15"/>
    </row>
    <row r="130" spans="1:43" ht="34" hidden="1" x14ac:dyDescent="0.2">
      <c r="A130" s="7">
        <v>129</v>
      </c>
      <c r="B130" s="8" t="s">
        <v>317</v>
      </c>
      <c r="C130" s="8" t="s">
        <v>318</v>
      </c>
      <c r="D130" s="8" t="s">
        <v>34</v>
      </c>
      <c r="E130" s="19" t="s">
        <v>269</v>
      </c>
      <c r="F130" s="8" t="s">
        <v>231</v>
      </c>
      <c r="G130" s="7">
        <v>0</v>
      </c>
      <c r="H130" s="9" t="s">
        <v>270</v>
      </c>
      <c r="I130" s="10" t="str">
        <f t="shared" si="18"/>
        <v>Beg.</v>
      </c>
      <c r="J130" s="10" t="s">
        <v>40</v>
      </c>
      <c r="K130" s="10" t="s">
        <v>40</v>
      </c>
      <c r="L130" s="10" t="s">
        <v>40</v>
      </c>
      <c r="M130">
        <v>0</v>
      </c>
      <c r="N130">
        <v>0</v>
      </c>
      <c r="O130">
        <v>0</v>
      </c>
      <c r="P130" s="10" t="s">
        <v>44</v>
      </c>
      <c r="Q130" s="10">
        <f t="array" ref="Q130">IFERROR(SUMPRODUCT((N130:P130&gt;0)*(N130:P130))/3, 0)</f>
        <v>0</v>
      </c>
      <c r="R130" s="10"/>
      <c r="S130" s="11" t="str">
        <f t="shared" si="22"/>
        <v/>
      </c>
      <c r="T130" s="9"/>
      <c r="U130" s="7"/>
      <c r="V130" s="7"/>
      <c r="W130" s="7"/>
      <c r="X130" s="7"/>
      <c r="Y130" s="7"/>
      <c r="Z130" s="15"/>
      <c r="AA130" s="15"/>
      <c r="AB130" s="11" t="str">
        <f t="shared" si="25"/>
        <v/>
      </c>
      <c r="AC130" s="11"/>
      <c r="AD130" s="11"/>
      <c r="AE130" s="11"/>
      <c r="AF130" s="11"/>
      <c r="AG130" s="11"/>
      <c r="AH130" s="11"/>
      <c r="AI130" s="11"/>
      <c r="AJ130" s="15"/>
      <c r="AK130" s="15"/>
      <c r="AL130" s="14">
        <f t="shared" si="30"/>
        <v>3</v>
      </c>
      <c r="AM130" s="11">
        <f t="shared" si="31"/>
        <v>9</v>
      </c>
      <c r="AN130" s="14">
        <f t="shared" si="32"/>
        <v>3</v>
      </c>
      <c r="AO130" s="15"/>
      <c r="AP130" s="15"/>
      <c r="AQ130" s="15"/>
    </row>
    <row r="131" spans="1:43" ht="34" hidden="1" x14ac:dyDescent="0.2">
      <c r="A131" s="7">
        <v>130</v>
      </c>
      <c r="B131" s="8" t="s">
        <v>319</v>
      </c>
      <c r="C131" s="8" t="s">
        <v>320</v>
      </c>
      <c r="D131" s="8" t="s">
        <v>34</v>
      </c>
      <c r="E131" s="19" t="s">
        <v>269</v>
      </c>
      <c r="F131" s="8" t="s">
        <v>231</v>
      </c>
      <c r="G131" s="7">
        <v>0</v>
      </c>
      <c r="H131" s="9">
        <v>45747</v>
      </c>
      <c r="I131" s="10">
        <f t="shared" ref="I131:I132" si="36">IFERROR(DATEDIF(H131, DATE(2026,3,31), "y"),H131)</f>
        <v>1</v>
      </c>
      <c r="J131" s="10" t="s">
        <v>40</v>
      </c>
      <c r="K131" s="10" t="s">
        <v>40</v>
      </c>
      <c r="L131" s="10" t="s">
        <v>40</v>
      </c>
      <c r="M131">
        <v>0</v>
      </c>
      <c r="N131">
        <v>0</v>
      </c>
      <c r="O131">
        <v>0</v>
      </c>
      <c r="P131" s="10" t="s">
        <v>44</v>
      </c>
      <c r="Q131" s="10">
        <f t="array" ref="Q131">IFERROR(SUMPRODUCT((N131:P131&gt;0)*(N131:P131))/3, 0)</f>
        <v>0</v>
      </c>
      <c r="R131" s="10"/>
      <c r="S131" s="11" t="str">
        <f t="shared" ref="S131:S194" si="37">IF(Q131&gt;0,LOG10(Q131+1),"")</f>
        <v/>
      </c>
      <c r="T131" s="9"/>
      <c r="U131" s="7"/>
      <c r="V131" s="7"/>
      <c r="W131" s="7"/>
      <c r="X131" s="7"/>
      <c r="Y131" s="7"/>
      <c r="Z131" s="15"/>
      <c r="AA131" s="15"/>
      <c r="AB131" s="11" t="str">
        <f t="shared" ref="AB131:AB194" si="38">IF(AA131&gt;0,LOG10(AA131+1),"")</f>
        <v/>
      </c>
      <c r="AC131" s="11"/>
      <c r="AD131" s="11"/>
      <c r="AE131" s="11"/>
      <c r="AF131" s="11"/>
      <c r="AG131" s="11"/>
      <c r="AH131" s="11"/>
      <c r="AI131" s="11"/>
      <c r="AJ131" s="15"/>
      <c r="AK131" s="15"/>
      <c r="AL131" s="14">
        <f t="shared" ref="AL131:AL194" si="39">IF(W131&gt;=5,9,IF(W131 &gt;=3,7,IF(W131=0,3,5)))</f>
        <v>3</v>
      </c>
      <c r="AM131" s="11">
        <f t="shared" ref="AM131:AM194" si="40">IF(I131&lt;4,3,IF(I131&lt;6,5,IF(I131&lt;11,7,9)))</f>
        <v>3</v>
      </c>
      <c r="AN131" s="14">
        <f t="shared" ref="AN131:AN194" si="41">IF(AB131=0,"3",
 IF(AB131="",3,
 IF(AB131&lt;=_xlfn.PERCENTILE.INC($AB$2:$AB$105,0.25),3,
 IF(AB131&lt;=_xlfn.PERCENTILE.INC($AB$2:$AB$105,0.5),5,
 IF(AB131&lt;=_xlfn.PERCENTILE.INC($AB$2:$AB$105,0.75),7,
 9)))))</f>
        <v>3</v>
      </c>
      <c r="AO131" s="15"/>
      <c r="AP131" s="15"/>
      <c r="AQ131" s="15"/>
    </row>
    <row r="132" spans="1:43" ht="51" hidden="1" x14ac:dyDescent="0.2">
      <c r="A132" s="7">
        <v>131</v>
      </c>
      <c r="B132" s="8" t="s">
        <v>321</v>
      </c>
      <c r="C132" s="8" t="s">
        <v>322</v>
      </c>
      <c r="D132" s="8" t="s">
        <v>34</v>
      </c>
      <c r="E132" s="19" t="s">
        <v>269</v>
      </c>
      <c r="F132" s="8" t="s">
        <v>231</v>
      </c>
      <c r="G132" s="7" t="s">
        <v>59</v>
      </c>
      <c r="H132" s="9" t="s">
        <v>44</v>
      </c>
      <c r="I132" s="10" t="str">
        <f t="shared" si="36"/>
        <v>NA</v>
      </c>
      <c r="J132" s="10" t="s">
        <v>40</v>
      </c>
      <c r="K132" s="10" t="s">
        <v>40</v>
      </c>
      <c r="L132" s="10" t="s">
        <v>40</v>
      </c>
      <c r="M132">
        <v>0</v>
      </c>
      <c r="N132">
        <v>0</v>
      </c>
      <c r="O132">
        <v>0</v>
      </c>
      <c r="P132" s="10" t="s">
        <v>44</v>
      </c>
      <c r="Q132" s="10">
        <f t="array" ref="Q132">IFERROR(SUMPRODUCT((N132:P132&gt;0)*(N132:P132))/3, 0)</f>
        <v>0</v>
      </c>
      <c r="R132" s="10"/>
      <c r="S132" s="11" t="str">
        <f t="shared" si="37"/>
        <v/>
      </c>
      <c r="T132" s="9"/>
      <c r="U132" s="7"/>
      <c r="V132" s="7"/>
      <c r="W132" s="7"/>
      <c r="X132" s="7"/>
      <c r="Y132" s="7"/>
      <c r="Z132" s="15"/>
      <c r="AA132" s="15"/>
      <c r="AB132" s="11" t="str">
        <f t="shared" si="38"/>
        <v/>
      </c>
      <c r="AC132" s="11"/>
      <c r="AD132" s="11"/>
      <c r="AE132" s="11"/>
      <c r="AF132" s="11"/>
      <c r="AG132" s="11"/>
      <c r="AH132" s="11"/>
      <c r="AI132" s="11"/>
      <c r="AJ132" s="15"/>
      <c r="AK132" s="15"/>
      <c r="AL132" s="14">
        <f t="shared" si="39"/>
        <v>3</v>
      </c>
      <c r="AM132" s="11">
        <f t="shared" si="40"/>
        <v>9</v>
      </c>
      <c r="AN132" s="14">
        <f t="shared" si="41"/>
        <v>3</v>
      </c>
      <c r="AO132" s="15"/>
      <c r="AP132" s="15"/>
      <c r="AQ132" s="15"/>
    </row>
    <row r="133" spans="1:43" ht="51" hidden="1" x14ac:dyDescent="0.2">
      <c r="A133" s="7">
        <v>132</v>
      </c>
      <c r="B133" s="8" t="s">
        <v>323</v>
      </c>
      <c r="C133" s="8" t="s">
        <v>324</v>
      </c>
      <c r="D133" s="8" t="s">
        <v>34</v>
      </c>
      <c r="E133" s="19" t="s">
        <v>269</v>
      </c>
      <c r="F133" s="8" t="s">
        <v>231</v>
      </c>
      <c r="G133" s="7" t="s">
        <v>59</v>
      </c>
      <c r="H133" s="9" t="s">
        <v>44</v>
      </c>
      <c r="I133" s="10"/>
      <c r="J133" s="10" t="s">
        <v>40</v>
      </c>
      <c r="K133" s="10" t="s">
        <v>40</v>
      </c>
      <c r="L133" s="10" t="s">
        <v>40</v>
      </c>
      <c r="M133">
        <v>0</v>
      </c>
      <c r="N133">
        <v>0</v>
      </c>
      <c r="O133">
        <v>0</v>
      </c>
      <c r="P133" s="10" t="s">
        <v>44</v>
      </c>
      <c r="Q133" s="10">
        <f t="array" ref="Q133">IFERROR(SUMPRODUCT((N133:P133&gt;0)*(N133:P133))/3, 0)</f>
        <v>0</v>
      </c>
      <c r="R133" s="10"/>
      <c r="S133" s="11" t="str">
        <f t="shared" si="37"/>
        <v/>
      </c>
      <c r="T133" s="9"/>
      <c r="U133" s="7"/>
      <c r="V133" s="7"/>
      <c r="W133" s="7"/>
      <c r="X133" s="7"/>
      <c r="Y133" s="7"/>
      <c r="Z133" s="15"/>
      <c r="AA133" s="15"/>
      <c r="AB133" s="11" t="str">
        <f t="shared" si="38"/>
        <v/>
      </c>
      <c r="AC133" s="11"/>
      <c r="AD133" s="11"/>
      <c r="AE133" s="11"/>
      <c r="AF133" s="11"/>
      <c r="AG133" s="11"/>
      <c r="AH133" s="11"/>
      <c r="AI133" s="11"/>
      <c r="AJ133" s="15"/>
      <c r="AK133" s="15"/>
      <c r="AL133" s="14">
        <f t="shared" si="39"/>
        <v>3</v>
      </c>
      <c r="AM133" s="11">
        <f t="shared" si="40"/>
        <v>3</v>
      </c>
      <c r="AN133" s="14">
        <f t="shared" si="41"/>
        <v>3</v>
      </c>
      <c r="AO133" s="15"/>
      <c r="AP133" s="15"/>
      <c r="AQ133" s="15"/>
    </row>
    <row r="134" spans="1:43" ht="51" hidden="1" x14ac:dyDescent="0.2">
      <c r="A134" s="7">
        <v>133</v>
      </c>
      <c r="B134" s="8" t="s">
        <v>325</v>
      </c>
      <c r="C134" s="8" t="s">
        <v>326</v>
      </c>
      <c r="D134" s="8" t="s">
        <v>34</v>
      </c>
      <c r="E134" s="19" t="s">
        <v>269</v>
      </c>
      <c r="F134" s="8" t="s">
        <v>231</v>
      </c>
      <c r="G134" s="7" t="s">
        <v>59</v>
      </c>
      <c r="H134" s="9" t="s">
        <v>44</v>
      </c>
      <c r="I134" s="10"/>
      <c r="J134" s="10" t="s">
        <v>40</v>
      </c>
      <c r="K134" s="10" t="s">
        <v>40</v>
      </c>
      <c r="L134" s="10" t="s">
        <v>40</v>
      </c>
      <c r="M134">
        <v>0</v>
      </c>
      <c r="N134">
        <v>0</v>
      </c>
      <c r="O134">
        <v>0</v>
      </c>
      <c r="P134" s="10" t="s">
        <v>44</v>
      </c>
      <c r="Q134" s="10">
        <f t="array" ref="Q134">IFERROR(SUMPRODUCT((N134:P134&gt;0)*(N134:P134))/3, 0)</f>
        <v>0</v>
      </c>
      <c r="R134" s="10"/>
      <c r="S134" s="11" t="str">
        <f t="shared" si="37"/>
        <v/>
      </c>
      <c r="T134" s="9"/>
      <c r="U134" s="7"/>
      <c r="V134" s="7"/>
      <c r="W134" s="7"/>
      <c r="X134" s="7"/>
      <c r="Y134" s="7"/>
      <c r="Z134" s="15"/>
      <c r="AA134" s="15"/>
      <c r="AB134" s="11" t="str">
        <f t="shared" si="38"/>
        <v/>
      </c>
      <c r="AC134" s="11"/>
      <c r="AD134" s="11"/>
      <c r="AE134" s="11"/>
      <c r="AF134" s="11"/>
      <c r="AG134" s="11"/>
      <c r="AH134" s="11"/>
      <c r="AI134" s="11"/>
      <c r="AJ134" s="15"/>
      <c r="AK134" s="15"/>
      <c r="AL134" s="14">
        <f t="shared" si="39"/>
        <v>3</v>
      </c>
      <c r="AM134" s="11">
        <f t="shared" si="40"/>
        <v>3</v>
      </c>
      <c r="AN134" s="14">
        <f t="shared" si="41"/>
        <v>3</v>
      </c>
      <c r="AO134" s="15"/>
      <c r="AP134" s="15"/>
      <c r="AQ134" s="15"/>
    </row>
    <row r="135" spans="1:43" ht="34" hidden="1" x14ac:dyDescent="0.2">
      <c r="A135" s="7">
        <v>134</v>
      </c>
      <c r="B135" s="8" t="s">
        <v>327</v>
      </c>
      <c r="C135" s="8" t="s">
        <v>328</v>
      </c>
      <c r="D135" s="8" t="s">
        <v>34</v>
      </c>
      <c r="E135" s="19" t="s">
        <v>269</v>
      </c>
      <c r="F135" s="8" t="s">
        <v>231</v>
      </c>
      <c r="G135" s="7" t="s">
        <v>59</v>
      </c>
      <c r="H135" s="9" t="s">
        <v>44</v>
      </c>
      <c r="I135" s="10"/>
      <c r="J135" s="10" t="s">
        <v>40</v>
      </c>
      <c r="K135" s="10" t="s">
        <v>40</v>
      </c>
      <c r="L135" s="10" t="s">
        <v>40</v>
      </c>
      <c r="M135">
        <v>0</v>
      </c>
      <c r="N135">
        <v>0</v>
      </c>
      <c r="O135">
        <v>0</v>
      </c>
      <c r="P135" s="10" t="s">
        <v>44</v>
      </c>
      <c r="Q135" s="10">
        <f t="array" ref="Q135">IFERROR(SUMPRODUCT((N135:P135&gt;0)*(N135:P135))/3, 0)</f>
        <v>0</v>
      </c>
      <c r="R135" s="10"/>
      <c r="S135" s="11" t="str">
        <f t="shared" si="37"/>
        <v/>
      </c>
      <c r="T135" s="9"/>
      <c r="U135" s="7"/>
      <c r="V135" s="7"/>
      <c r="W135" s="7"/>
      <c r="X135" s="7"/>
      <c r="Y135" s="7"/>
      <c r="Z135" s="15"/>
      <c r="AA135" s="15"/>
      <c r="AB135" s="11" t="str">
        <f t="shared" si="38"/>
        <v/>
      </c>
      <c r="AC135" s="11"/>
      <c r="AD135" s="11"/>
      <c r="AE135" s="11"/>
      <c r="AF135" s="11"/>
      <c r="AG135" s="11"/>
      <c r="AH135" s="11"/>
      <c r="AI135" s="11"/>
      <c r="AJ135" s="15"/>
      <c r="AK135" s="15"/>
      <c r="AL135" s="14">
        <f t="shared" si="39"/>
        <v>3</v>
      </c>
      <c r="AM135" s="11">
        <f t="shared" si="40"/>
        <v>3</v>
      </c>
      <c r="AN135" s="14">
        <f t="shared" si="41"/>
        <v>3</v>
      </c>
      <c r="AO135" s="15"/>
      <c r="AP135" s="15"/>
      <c r="AQ135" s="15"/>
    </row>
    <row r="136" spans="1:43" ht="34" hidden="1" x14ac:dyDescent="0.2">
      <c r="A136" s="7">
        <v>135</v>
      </c>
      <c r="B136" s="8" t="s">
        <v>329</v>
      </c>
      <c r="C136" s="8" t="s">
        <v>330</v>
      </c>
      <c r="D136" s="8" t="s">
        <v>34</v>
      </c>
      <c r="E136" s="19" t="s">
        <v>269</v>
      </c>
      <c r="F136" s="8" t="s">
        <v>231</v>
      </c>
      <c r="G136" s="7" t="s">
        <v>59</v>
      </c>
      <c r="H136" s="9" t="s">
        <v>44</v>
      </c>
      <c r="I136" s="10"/>
      <c r="J136" s="10" t="s">
        <v>40</v>
      </c>
      <c r="K136" s="10" t="s">
        <v>40</v>
      </c>
      <c r="L136" s="10" t="s">
        <v>40</v>
      </c>
      <c r="M136">
        <v>0</v>
      </c>
      <c r="N136">
        <v>0</v>
      </c>
      <c r="O136">
        <v>0</v>
      </c>
      <c r="P136" s="10" t="s">
        <v>44</v>
      </c>
      <c r="Q136" s="10">
        <f t="array" ref="Q136">IFERROR(SUMPRODUCT((N136:P136&gt;0)*(N136:P136))/3, 0)</f>
        <v>0</v>
      </c>
      <c r="R136" s="10"/>
      <c r="S136" s="11" t="str">
        <f t="shared" si="37"/>
        <v/>
      </c>
      <c r="T136" s="9"/>
      <c r="U136" s="7"/>
      <c r="V136" s="7"/>
      <c r="W136" s="7"/>
      <c r="X136" s="7"/>
      <c r="Y136" s="7"/>
      <c r="Z136" s="15"/>
      <c r="AA136" s="15"/>
      <c r="AB136" s="11" t="str">
        <f t="shared" si="38"/>
        <v/>
      </c>
      <c r="AC136" s="11"/>
      <c r="AD136" s="11"/>
      <c r="AE136" s="11"/>
      <c r="AF136" s="11"/>
      <c r="AG136" s="11"/>
      <c r="AH136" s="11"/>
      <c r="AI136" s="11"/>
      <c r="AJ136" s="15"/>
      <c r="AK136" s="15"/>
      <c r="AL136" s="14">
        <f t="shared" si="39"/>
        <v>3</v>
      </c>
      <c r="AM136" s="11">
        <f t="shared" si="40"/>
        <v>3</v>
      </c>
      <c r="AN136" s="14">
        <f t="shared" si="41"/>
        <v>3</v>
      </c>
      <c r="AO136" s="15"/>
      <c r="AP136" s="15"/>
      <c r="AQ136" s="15"/>
    </row>
    <row r="137" spans="1:43" ht="34" hidden="1" x14ac:dyDescent="0.2">
      <c r="A137" s="7">
        <v>136</v>
      </c>
      <c r="B137" s="8" t="s">
        <v>331</v>
      </c>
      <c r="C137" s="8" t="s">
        <v>332</v>
      </c>
      <c r="D137" s="8" t="s">
        <v>34</v>
      </c>
      <c r="E137" s="19" t="s">
        <v>269</v>
      </c>
      <c r="F137" s="8" t="s">
        <v>231</v>
      </c>
      <c r="G137" s="7" t="s">
        <v>59</v>
      </c>
      <c r="H137" s="9" t="s">
        <v>44</v>
      </c>
      <c r="I137" s="10"/>
      <c r="J137" s="10" t="s">
        <v>40</v>
      </c>
      <c r="K137" s="10" t="s">
        <v>40</v>
      </c>
      <c r="L137" s="10" t="s">
        <v>40</v>
      </c>
      <c r="M137">
        <v>0</v>
      </c>
      <c r="N137">
        <v>0</v>
      </c>
      <c r="O137">
        <v>0</v>
      </c>
      <c r="P137" s="10" t="s">
        <v>44</v>
      </c>
      <c r="Q137" s="10">
        <f t="array" ref="Q137">IFERROR(SUMPRODUCT((N137:P137&gt;0)*(N137:P137))/3, 0)</f>
        <v>0</v>
      </c>
      <c r="R137" s="10"/>
      <c r="S137" s="11" t="str">
        <f t="shared" si="37"/>
        <v/>
      </c>
      <c r="T137" s="9"/>
      <c r="U137" s="7"/>
      <c r="V137" s="7"/>
      <c r="W137" s="7"/>
      <c r="X137" s="7"/>
      <c r="Y137" s="7"/>
      <c r="Z137" s="15"/>
      <c r="AA137" s="15"/>
      <c r="AB137" s="11" t="str">
        <f t="shared" si="38"/>
        <v/>
      </c>
      <c r="AC137" s="11"/>
      <c r="AD137" s="11"/>
      <c r="AE137" s="11"/>
      <c r="AF137" s="11"/>
      <c r="AG137" s="11"/>
      <c r="AH137" s="11"/>
      <c r="AI137" s="11"/>
      <c r="AJ137" s="15"/>
      <c r="AK137" s="15"/>
      <c r="AL137" s="14">
        <f t="shared" si="39"/>
        <v>3</v>
      </c>
      <c r="AM137" s="11">
        <f t="shared" si="40"/>
        <v>3</v>
      </c>
      <c r="AN137" s="14">
        <f t="shared" si="41"/>
        <v>3</v>
      </c>
      <c r="AO137" s="15"/>
      <c r="AP137" s="15"/>
      <c r="AQ137" s="15"/>
    </row>
    <row r="138" spans="1:43" ht="34" hidden="1" x14ac:dyDescent="0.2">
      <c r="A138" s="7">
        <v>137</v>
      </c>
      <c r="B138" s="8" t="s">
        <v>333</v>
      </c>
      <c r="C138" s="8" t="s">
        <v>334</v>
      </c>
      <c r="D138" s="8" t="s">
        <v>34</v>
      </c>
      <c r="E138" s="19" t="s">
        <v>269</v>
      </c>
      <c r="F138" s="8" t="s">
        <v>231</v>
      </c>
      <c r="G138" s="7" t="s">
        <v>59</v>
      </c>
      <c r="H138" s="9" t="s">
        <v>44</v>
      </c>
      <c r="I138" s="10"/>
      <c r="J138" s="10" t="s">
        <v>40</v>
      </c>
      <c r="K138" s="10" t="s">
        <v>40</v>
      </c>
      <c r="L138" s="10" t="s">
        <v>40</v>
      </c>
      <c r="M138">
        <v>0</v>
      </c>
      <c r="N138">
        <v>0</v>
      </c>
      <c r="O138">
        <v>0</v>
      </c>
      <c r="P138" s="10" t="s">
        <v>44</v>
      </c>
      <c r="Q138" s="10">
        <f t="array" ref="Q138">IFERROR(SUMPRODUCT((N138:P138&gt;0)*(N138:P138))/3, 0)</f>
        <v>0</v>
      </c>
      <c r="R138" s="10"/>
      <c r="S138" s="11" t="str">
        <f t="shared" si="37"/>
        <v/>
      </c>
      <c r="T138" s="9"/>
      <c r="U138" s="7"/>
      <c r="V138" s="7"/>
      <c r="W138" s="7"/>
      <c r="X138" s="7"/>
      <c r="Y138" s="7"/>
      <c r="Z138" s="15"/>
      <c r="AA138" s="15"/>
      <c r="AB138" s="11" t="str">
        <f t="shared" si="38"/>
        <v/>
      </c>
      <c r="AC138" s="11"/>
      <c r="AD138" s="11"/>
      <c r="AE138" s="11"/>
      <c r="AF138" s="11"/>
      <c r="AG138" s="11"/>
      <c r="AH138" s="11"/>
      <c r="AI138" s="11"/>
      <c r="AJ138" s="15"/>
      <c r="AK138" s="15"/>
      <c r="AL138" s="14">
        <f t="shared" si="39"/>
        <v>3</v>
      </c>
      <c r="AM138" s="11">
        <f t="shared" si="40"/>
        <v>3</v>
      </c>
      <c r="AN138" s="14">
        <f t="shared" si="41"/>
        <v>3</v>
      </c>
      <c r="AO138" s="15"/>
      <c r="AP138" s="15"/>
      <c r="AQ138" s="15"/>
    </row>
    <row r="139" spans="1:43" ht="34" hidden="1" x14ac:dyDescent="0.2">
      <c r="A139" s="7">
        <v>138</v>
      </c>
      <c r="B139" s="8" t="s">
        <v>335</v>
      </c>
      <c r="C139" s="8" t="s">
        <v>336</v>
      </c>
      <c r="D139" s="8" t="s">
        <v>34</v>
      </c>
      <c r="E139" s="19" t="s">
        <v>269</v>
      </c>
      <c r="F139" s="8" t="s">
        <v>231</v>
      </c>
      <c r="G139" s="7" t="s">
        <v>59</v>
      </c>
      <c r="H139" s="9" t="s">
        <v>44</v>
      </c>
      <c r="I139" s="10"/>
      <c r="J139" s="10" t="s">
        <v>40</v>
      </c>
      <c r="K139" s="10" t="s">
        <v>40</v>
      </c>
      <c r="L139" s="10" t="s">
        <v>40</v>
      </c>
      <c r="M139">
        <v>0</v>
      </c>
      <c r="N139">
        <v>0</v>
      </c>
      <c r="O139">
        <v>0</v>
      </c>
      <c r="P139" s="10" t="s">
        <v>44</v>
      </c>
      <c r="Q139" s="10">
        <f t="array" ref="Q139">IFERROR(SUMPRODUCT((N139:P139&gt;0)*(N139:P139))/3, 0)</f>
        <v>0</v>
      </c>
      <c r="R139" s="10"/>
      <c r="S139" s="11" t="str">
        <f t="shared" si="37"/>
        <v/>
      </c>
      <c r="T139" s="9"/>
      <c r="U139" s="7"/>
      <c r="V139" s="7"/>
      <c r="W139" s="7"/>
      <c r="X139" s="7"/>
      <c r="Y139" s="7"/>
      <c r="Z139" s="15"/>
      <c r="AA139" s="15"/>
      <c r="AB139" s="11" t="str">
        <f t="shared" si="38"/>
        <v/>
      </c>
      <c r="AC139" s="11"/>
      <c r="AD139" s="11"/>
      <c r="AE139" s="11"/>
      <c r="AF139" s="11"/>
      <c r="AG139" s="11"/>
      <c r="AH139" s="11"/>
      <c r="AI139" s="11"/>
      <c r="AJ139" s="15"/>
      <c r="AK139" s="15"/>
      <c r="AL139" s="14">
        <f t="shared" si="39"/>
        <v>3</v>
      </c>
      <c r="AM139" s="11">
        <f t="shared" si="40"/>
        <v>3</v>
      </c>
      <c r="AN139" s="14">
        <f t="shared" si="41"/>
        <v>3</v>
      </c>
      <c r="AO139" s="15"/>
      <c r="AP139" s="15"/>
      <c r="AQ139" s="15"/>
    </row>
    <row r="140" spans="1:43" ht="34" hidden="1" x14ac:dyDescent="0.2">
      <c r="A140" s="7">
        <v>139</v>
      </c>
      <c r="B140" s="8" t="s">
        <v>337</v>
      </c>
      <c r="C140" s="8" t="s">
        <v>338</v>
      </c>
      <c r="D140" s="8" t="s">
        <v>34</v>
      </c>
      <c r="E140" s="19" t="s">
        <v>269</v>
      </c>
      <c r="F140" s="8" t="s">
        <v>231</v>
      </c>
      <c r="G140" s="7" t="s">
        <v>59</v>
      </c>
      <c r="H140" s="9" t="s">
        <v>44</v>
      </c>
      <c r="I140" s="10"/>
      <c r="J140" s="10" t="s">
        <v>40</v>
      </c>
      <c r="K140" s="10" t="s">
        <v>40</v>
      </c>
      <c r="L140" s="10" t="s">
        <v>40</v>
      </c>
      <c r="M140">
        <v>0</v>
      </c>
      <c r="N140">
        <v>0</v>
      </c>
      <c r="O140">
        <v>0</v>
      </c>
      <c r="P140" s="10" t="s">
        <v>44</v>
      </c>
      <c r="Q140" s="10">
        <f t="array" ref="Q140">IFERROR(SUMPRODUCT((N140:P140&gt;0)*(N140:P140))/3, 0)</f>
        <v>0</v>
      </c>
      <c r="R140" s="10"/>
      <c r="S140" s="11" t="str">
        <f t="shared" si="37"/>
        <v/>
      </c>
      <c r="T140" s="9"/>
      <c r="U140" s="7"/>
      <c r="V140" s="7"/>
      <c r="W140" s="7"/>
      <c r="X140" s="7"/>
      <c r="Y140" s="7"/>
      <c r="Z140" s="15"/>
      <c r="AA140" s="15"/>
      <c r="AB140" s="11" t="str">
        <f t="shared" si="38"/>
        <v/>
      </c>
      <c r="AC140" s="11"/>
      <c r="AD140" s="11"/>
      <c r="AE140" s="11"/>
      <c r="AF140" s="11"/>
      <c r="AG140" s="11"/>
      <c r="AH140" s="11"/>
      <c r="AI140" s="11"/>
      <c r="AJ140" s="15"/>
      <c r="AK140" s="15"/>
      <c r="AL140" s="14">
        <f t="shared" si="39"/>
        <v>3</v>
      </c>
      <c r="AM140" s="11">
        <f t="shared" si="40"/>
        <v>3</v>
      </c>
      <c r="AN140" s="14">
        <f t="shared" si="41"/>
        <v>3</v>
      </c>
      <c r="AO140" s="15"/>
      <c r="AP140" s="15"/>
      <c r="AQ140" s="15"/>
    </row>
    <row r="141" spans="1:43" ht="34" hidden="1" x14ac:dyDescent="0.2">
      <c r="A141" s="7">
        <v>140</v>
      </c>
      <c r="B141" s="8" t="s">
        <v>339</v>
      </c>
      <c r="C141" s="8" t="s">
        <v>340</v>
      </c>
      <c r="D141" s="8" t="s">
        <v>34</v>
      </c>
      <c r="E141" s="19" t="s">
        <v>269</v>
      </c>
      <c r="F141" s="8" t="s">
        <v>231</v>
      </c>
      <c r="G141" s="7" t="s">
        <v>59</v>
      </c>
      <c r="H141" s="9" t="s">
        <v>44</v>
      </c>
      <c r="I141" s="10"/>
      <c r="J141" s="10" t="s">
        <v>40</v>
      </c>
      <c r="K141" s="10" t="s">
        <v>40</v>
      </c>
      <c r="L141" s="10" t="s">
        <v>40</v>
      </c>
      <c r="M141">
        <v>0</v>
      </c>
      <c r="N141">
        <v>0</v>
      </c>
      <c r="O141">
        <v>0</v>
      </c>
      <c r="P141" s="10" t="s">
        <v>44</v>
      </c>
      <c r="Q141" s="10">
        <f t="array" ref="Q141">IFERROR(SUMPRODUCT((N141:P141&gt;0)*(N141:P141))/3, 0)</f>
        <v>0</v>
      </c>
      <c r="R141" s="10"/>
      <c r="S141" s="11" t="str">
        <f t="shared" si="37"/>
        <v/>
      </c>
      <c r="T141" s="9"/>
      <c r="U141" s="7"/>
      <c r="V141" s="7"/>
      <c r="W141" s="7"/>
      <c r="X141" s="7"/>
      <c r="Y141" s="7"/>
      <c r="Z141" s="15"/>
      <c r="AA141" s="15"/>
      <c r="AB141" s="11" t="str">
        <f t="shared" si="38"/>
        <v/>
      </c>
      <c r="AC141" s="11"/>
      <c r="AD141" s="11"/>
      <c r="AE141" s="11"/>
      <c r="AF141" s="11"/>
      <c r="AG141" s="11"/>
      <c r="AH141" s="11"/>
      <c r="AI141" s="11"/>
      <c r="AJ141" s="15"/>
      <c r="AK141" s="15"/>
      <c r="AL141" s="14">
        <f t="shared" si="39"/>
        <v>3</v>
      </c>
      <c r="AM141" s="11">
        <f t="shared" si="40"/>
        <v>3</v>
      </c>
      <c r="AN141" s="14">
        <f t="shared" si="41"/>
        <v>3</v>
      </c>
      <c r="AO141" s="15"/>
      <c r="AP141" s="15"/>
      <c r="AQ141" s="15"/>
    </row>
    <row r="142" spans="1:43" ht="51" hidden="1" x14ac:dyDescent="0.2">
      <c r="A142" s="7">
        <v>141</v>
      </c>
      <c r="B142" s="8" t="s">
        <v>341</v>
      </c>
      <c r="C142" s="8" t="s">
        <v>342</v>
      </c>
      <c r="D142" s="8" t="s">
        <v>34</v>
      </c>
      <c r="E142" s="19" t="s">
        <v>269</v>
      </c>
      <c r="F142" s="8" t="s">
        <v>231</v>
      </c>
      <c r="G142" s="7" t="s">
        <v>59</v>
      </c>
      <c r="H142" s="9" t="s">
        <v>44</v>
      </c>
      <c r="I142" s="10"/>
      <c r="J142" s="10" t="s">
        <v>40</v>
      </c>
      <c r="K142" s="10" t="s">
        <v>40</v>
      </c>
      <c r="L142" s="10" t="s">
        <v>40</v>
      </c>
      <c r="M142">
        <v>0</v>
      </c>
      <c r="N142">
        <v>0</v>
      </c>
      <c r="O142">
        <v>0</v>
      </c>
      <c r="P142" s="10" t="s">
        <v>44</v>
      </c>
      <c r="Q142" s="10">
        <f t="array" ref="Q142">IFERROR(SUMPRODUCT((N142:P142&gt;0)*(N142:P142))/3, 0)</f>
        <v>0</v>
      </c>
      <c r="R142" s="10"/>
      <c r="S142" s="11" t="str">
        <f t="shared" si="37"/>
        <v/>
      </c>
      <c r="T142" s="9"/>
      <c r="U142" s="7"/>
      <c r="V142" s="7"/>
      <c r="W142" s="7"/>
      <c r="X142" s="7"/>
      <c r="Y142" s="7"/>
      <c r="Z142" s="15"/>
      <c r="AA142" s="15"/>
      <c r="AB142" s="11" t="str">
        <f t="shared" si="38"/>
        <v/>
      </c>
      <c r="AC142" s="11"/>
      <c r="AD142" s="11"/>
      <c r="AE142" s="11"/>
      <c r="AF142" s="11"/>
      <c r="AG142" s="11"/>
      <c r="AH142" s="11"/>
      <c r="AI142" s="11"/>
      <c r="AJ142" s="15"/>
      <c r="AK142" s="15"/>
      <c r="AL142" s="14">
        <f t="shared" si="39"/>
        <v>3</v>
      </c>
      <c r="AM142" s="11">
        <f t="shared" si="40"/>
        <v>3</v>
      </c>
      <c r="AN142" s="14">
        <f t="shared" si="41"/>
        <v>3</v>
      </c>
      <c r="AO142" s="15"/>
      <c r="AP142" s="15"/>
      <c r="AQ142" s="15"/>
    </row>
    <row r="143" spans="1:43" ht="34" hidden="1" x14ac:dyDescent="0.2">
      <c r="A143" s="7">
        <v>142</v>
      </c>
      <c r="B143" s="8" t="s">
        <v>343</v>
      </c>
      <c r="C143" s="8" t="s">
        <v>344</v>
      </c>
      <c r="D143" s="8" t="s">
        <v>34</v>
      </c>
      <c r="E143" s="19" t="s">
        <v>269</v>
      </c>
      <c r="F143" s="8" t="s">
        <v>231</v>
      </c>
      <c r="G143" s="7" t="s">
        <v>59</v>
      </c>
      <c r="H143" s="9" t="s">
        <v>44</v>
      </c>
      <c r="I143" s="10"/>
      <c r="J143" s="10" t="s">
        <v>40</v>
      </c>
      <c r="K143" s="10" t="s">
        <v>40</v>
      </c>
      <c r="L143" s="10" t="s">
        <v>40</v>
      </c>
      <c r="M143">
        <v>0</v>
      </c>
      <c r="N143">
        <v>0</v>
      </c>
      <c r="O143">
        <v>0</v>
      </c>
      <c r="P143" s="10" t="s">
        <v>44</v>
      </c>
      <c r="Q143" s="10">
        <f t="array" ref="Q143">IFERROR(SUMPRODUCT((N143:P143&gt;0)*(N143:P143))/3, 0)</f>
        <v>0</v>
      </c>
      <c r="R143" s="10"/>
      <c r="S143" s="11" t="str">
        <f t="shared" si="37"/>
        <v/>
      </c>
      <c r="T143" s="9"/>
      <c r="U143" s="7"/>
      <c r="V143" s="7"/>
      <c r="W143" s="7"/>
      <c r="X143" s="7"/>
      <c r="Y143" s="7"/>
      <c r="Z143" s="15"/>
      <c r="AA143" s="15"/>
      <c r="AB143" s="11" t="str">
        <f t="shared" si="38"/>
        <v/>
      </c>
      <c r="AC143" s="11"/>
      <c r="AD143" s="11"/>
      <c r="AE143" s="11"/>
      <c r="AF143" s="11"/>
      <c r="AG143" s="11"/>
      <c r="AH143" s="11"/>
      <c r="AI143" s="11"/>
      <c r="AJ143" s="15"/>
      <c r="AK143" s="15"/>
      <c r="AL143" s="14">
        <f t="shared" si="39"/>
        <v>3</v>
      </c>
      <c r="AM143" s="11">
        <f t="shared" si="40"/>
        <v>3</v>
      </c>
      <c r="AN143" s="14">
        <f t="shared" si="41"/>
        <v>3</v>
      </c>
      <c r="AO143" s="15"/>
      <c r="AP143" s="15"/>
      <c r="AQ143" s="15"/>
    </row>
    <row r="144" spans="1:43" ht="34" hidden="1" x14ac:dyDescent="0.2">
      <c r="A144" s="7">
        <v>143</v>
      </c>
      <c r="B144" s="19" t="s">
        <v>345</v>
      </c>
      <c r="C144" s="19" t="s">
        <v>346</v>
      </c>
      <c r="D144" s="8" t="s">
        <v>34</v>
      </c>
      <c r="E144" s="19" t="s">
        <v>269</v>
      </c>
      <c r="F144" s="8" t="s">
        <v>36</v>
      </c>
      <c r="G144" s="7" t="s">
        <v>59</v>
      </c>
      <c r="H144" s="9" t="s">
        <v>44</v>
      </c>
      <c r="I144" s="10"/>
      <c r="J144" s="10" t="s">
        <v>40</v>
      </c>
      <c r="K144" s="10" t="s">
        <v>40</v>
      </c>
      <c r="L144" s="10" t="s">
        <v>40</v>
      </c>
      <c r="M144">
        <v>0</v>
      </c>
      <c r="N144">
        <v>0</v>
      </c>
      <c r="O144">
        <v>0</v>
      </c>
      <c r="P144" s="10" t="s">
        <v>44</v>
      </c>
      <c r="Q144" s="10">
        <f t="array" ref="Q144">IFERROR(SUMPRODUCT((N144:P144&gt;0)*(N144:P144))/3, 0)</f>
        <v>0</v>
      </c>
      <c r="R144" s="10"/>
      <c r="S144" s="11" t="str">
        <f t="shared" si="37"/>
        <v/>
      </c>
      <c r="T144" s="7"/>
      <c r="U144" s="7"/>
      <c r="V144" s="7"/>
      <c r="W144" s="7"/>
      <c r="X144" s="7"/>
      <c r="Y144" s="7"/>
      <c r="Z144" s="15"/>
      <c r="AA144" s="15"/>
      <c r="AB144" s="11" t="str">
        <f t="shared" si="38"/>
        <v/>
      </c>
      <c r="AC144" s="11"/>
      <c r="AD144" s="11"/>
      <c r="AE144" s="11"/>
      <c r="AF144" s="11"/>
      <c r="AG144" s="11"/>
      <c r="AH144" s="11"/>
      <c r="AI144" s="11"/>
      <c r="AJ144" s="15"/>
      <c r="AK144" s="15"/>
      <c r="AL144" s="14">
        <f t="shared" si="39"/>
        <v>3</v>
      </c>
      <c r="AM144" s="11">
        <f t="shared" si="40"/>
        <v>3</v>
      </c>
      <c r="AN144" s="14">
        <f t="shared" si="41"/>
        <v>3</v>
      </c>
      <c r="AO144" s="15"/>
      <c r="AP144" s="15"/>
      <c r="AQ144" s="15"/>
    </row>
    <row r="145" spans="1:43" ht="34" hidden="1" x14ac:dyDescent="0.2">
      <c r="A145" s="7">
        <v>144</v>
      </c>
      <c r="B145" s="19" t="s">
        <v>347</v>
      </c>
      <c r="C145" s="19" t="s">
        <v>348</v>
      </c>
      <c r="D145" s="8" t="s">
        <v>34</v>
      </c>
      <c r="E145" s="19" t="s">
        <v>269</v>
      </c>
      <c r="F145" s="8" t="s">
        <v>36</v>
      </c>
      <c r="G145" s="7" t="s">
        <v>59</v>
      </c>
      <c r="H145" s="9" t="s">
        <v>44</v>
      </c>
      <c r="I145" s="10"/>
      <c r="J145" s="10" t="s">
        <v>40</v>
      </c>
      <c r="K145" s="10" t="s">
        <v>40</v>
      </c>
      <c r="L145" s="10" t="s">
        <v>40</v>
      </c>
      <c r="M145">
        <v>0</v>
      </c>
      <c r="N145">
        <v>0</v>
      </c>
      <c r="O145">
        <v>0</v>
      </c>
      <c r="P145" s="10" t="s">
        <v>44</v>
      </c>
      <c r="Q145" s="10">
        <f t="array" ref="Q145">IFERROR(SUMPRODUCT((N145:P145&gt;0)*(N145:P145))/3, 0)</f>
        <v>0</v>
      </c>
      <c r="R145" s="10"/>
      <c r="S145" s="11" t="str">
        <f t="shared" si="37"/>
        <v/>
      </c>
      <c r="T145" s="7"/>
      <c r="U145" s="7"/>
      <c r="V145" s="7"/>
      <c r="W145" s="7"/>
      <c r="X145" s="7"/>
      <c r="Y145" s="7"/>
      <c r="Z145" s="15"/>
      <c r="AA145" s="15"/>
      <c r="AB145" s="11" t="str">
        <f t="shared" si="38"/>
        <v/>
      </c>
      <c r="AC145" s="11"/>
      <c r="AD145" s="11"/>
      <c r="AE145" s="11"/>
      <c r="AF145" s="11"/>
      <c r="AG145" s="11"/>
      <c r="AH145" s="11"/>
      <c r="AI145" s="11"/>
      <c r="AJ145" s="15"/>
      <c r="AK145" s="15"/>
      <c r="AL145" s="14">
        <f t="shared" si="39"/>
        <v>3</v>
      </c>
      <c r="AM145" s="11">
        <f t="shared" si="40"/>
        <v>3</v>
      </c>
      <c r="AN145" s="14">
        <f t="shared" si="41"/>
        <v>3</v>
      </c>
      <c r="AO145" s="15"/>
      <c r="AP145" s="15"/>
      <c r="AQ145" s="15"/>
    </row>
    <row r="146" spans="1:43" ht="51" hidden="1" x14ac:dyDescent="0.2">
      <c r="A146" s="7">
        <v>145</v>
      </c>
      <c r="B146" s="19" t="s">
        <v>349</v>
      </c>
      <c r="C146" s="19" t="s">
        <v>350</v>
      </c>
      <c r="D146" s="8" t="s">
        <v>34</v>
      </c>
      <c r="E146" s="19" t="s">
        <v>269</v>
      </c>
      <c r="F146" s="8" t="s">
        <v>36</v>
      </c>
      <c r="G146" s="7" t="s">
        <v>59</v>
      </c>
      <c r="H146" s="9" t="s">
        <v>44</v>
      </c>
      <c r="I146" s="10"/>
      <c r="J146" s="10" t="s">
        <v>40</v>
      </c>
      <c r="K146" s="10" t="s">
        <v>40</v>
      </c>
      <c r="L146" s="10" t="s">
        <v>40</v>
      </c>
      <c r="M146">
        <v>0</v>
      </c>
      <c r="N146">
        <v>0</v>
      </c>
      <c r="O146">
        <v>0</v>
      </c>
      <c r="P146" s="10" t="s">
        <v>44</v>
      </c>
      <c r="Q146" s="10">
        <f t="array" ref="Q146">IFERROR(SUMPRODUCT((N146:P146&gt;0)*(N146:P146))/3, 0)</f>
        <v>0</v>
      </c>
      <c r="R146" s="10"/>
      <c r="S146" s="11" t="str">
        <f t="shared" si="37"/>
        <v/>
      </c>
      <c r="T146" s="7"/>
      <c r="U146" s="7"/>
      <c r="V146" s="7"/>
      <c r="W146" s="7"/>
      <c r="X146" s="7"/>
      <c r="Y146" s="7"/>
      <c r="Z146" s="15"/>
      <c r="AA146" s="15"/>
      <c r="AB146" s="11" t="str">
        <f t="shared" si="38"/>
        <v/>
      </c>
      <c r="AC146" s="11"/>
      <c r="AD146" s="11"/>
      <c r="AE146" s="11"/>
      <c r="AF146" s="11"/>
      <c r="AG146" s="11"/>
      <c r="AH146" s="11"/>
      <c r="AI146" s="11"/>
      <c r="AJ146" s="15"/>
      <c r="AK146" s="15"/>
      <c r="AL146" s="14">
        <f t="shared" si="39"/>
        <v>3</v>
      </c>
      <c r="AM146" s="11">
        <f t="shared" si="40"/>
        <v>3</v>
      </c>
      <c r="AN146" s="14">
        <f t="shared" si="41"/>
        <v>3</v>
      </c>
      <c r="AO146" s="15"/>
      <c r="AP146" s="15"/>
      <c r="AQ146" s="15"/>
    </row>
    <row r="147" spans="1:43" ht="51" hidden="1" x14ac:dyDescent="0.2">
      <c r="A147" s="7">
        <v>146</v>
      </c>
      <c r="B147" s="19" t="s">
        <v>351</v>
      </c>
      <c r="C147" s="19" t="s">
        <v>352</v>
      </c>
      <c r="D147" s="8" t="s">
        <v>34</v>
      </c>
      <c r="E147" s="19" t="s">
        <v>269</v>
      </c>
      <c r="F147" s="8" t="s">
        <v>36</v>
      </c>
      <c r="G147" s="7" t="s">
        <v>59</v>
      </c>
      <c r="H147" s="9" t="s">
        <v>44</v>
      </c>
      <c r="I147" s="10"/>
      <c r="J147" s="10" t="s">
        <v>40</v>
      </c>
      <c r="K147" s="10" t="s">
        <v>40</v>
      </c>
      <c r="L147" s="10" t="s">
        <v>40</v>
      </c>
      <c r="M147">
        <v>0</v>
      </c>
      <c r="N147">
        <v>0</v>
      </c>
      <c r="O147">
        <v>0</v>
      </c>
      <c r="P147" s="10" t="s">
        <v>44</v>
      </c>
      <c r="Q147" s="10">
        <f t="array" ref="Q147">IFERROR(SUMPRODUCT((N147:P147&gt;0)*(N147:P147))/3, 0)</f>
        <v>0</v>
      </c>
      <c r="R147" s="10"/>
      <c r="S147" s="11" t="str">
        <f t="shared" si="37"/>
        <v/>
      </c>
      <c r="T147" s="7"/>
      <c r="U147" s="7"/>
      <c r="V147" s="7"/>
      <c r="W147" s="7"/>
      <c r="X147" s="7"/>
      <c r="Y147" s="7"/>
      <c r="Z147" s="15"/>
      <c r="AA147" s="15"/>
      <c r="AB147" s="11" t="str">
        <f t="shared" si="38"/>
        <v/>
      </c>
      <c r="AC147" s="11"/>
      <c r="AD147" s="11"/>
      <c r="AE147" s="11"/>
      <c r="AF147" s="11"/>
      <c r="AG147" s="11"/>
      <c r="AH147" s="11"/>
      <c r="AI147" s="11"/>
      <c r="AJ147" s="15"/>
      <c r="AK147" s="15"/>
      <c r="AL147" s="14">
        <f t="shared" si="39"/>
        <v>3</v>
      </c>
      <c r="AM147" s="11">
        <f t="shared" si="40"/>
        <v>3</v>
      </c>
      <c r="AN147" s="14">
        <f t="shared" si="41"/>
        <v>3</v>
      </c>
      <c r="AO147" s="15"/>
      <c r="AP147" s="15"/>
      <c r="AQ147" s="15"/>
    </row>
    <row r="148" spans="1:43" ht="34" hidden="1" x14ac:dyDescent="0.2">
      <c r="A148" s="7">
        <v>147</v>
      </c>
      <c r="B148" s="19" t="s">
        <v>353</v>
      </c>
      <c r="C148" s="19" t="s">
        <v>354</v>
      </c>
      <c r="D148" s="8" t="s">
        <v>34</v>
      </c>
      <c r="E148" s="19" t="s">
        <v>269</v>
      </c>
      <c r="F148" s="8" t="s">
        <v>36</v>
      </c>
      <c r="G148" s="7" t="s">
        <v>59</v>
      </c>
      <c r="H148" s="9" t="s">
        <v>44</v>
      </c>
      <c r="I148" s="10"/>
      <c r="J148" s="10" t="s">
        <v>40</v>
      </c>
      <c r="K148" s="10" t="s">
        <v>40</v>
      </c>
      <c r="L148" s="10" t="s">
        <v>40</v>
      </c>
      <c r="M148">
        <v>0</v>
      </c>
      <c r="N148">
        <v>0</v>
      </c>
      <c r="O148">
        <v>0</v>
      </c>
      <c r="P148" s="10" t="s">
        <v>44</v>
      </c>
      <c r="Q148" s="10">
        <f t="array" ref="Q148">IFERROR(SUMPRODUCT((N148:P148&gt;0)*(N148:P148))/3, 0)</f>
        <v>0</v>
      </c>
      <c r="R148" s="10"/>
      <c r="S148" s="11" t="str">
        <f t="shared" si="37"/>
        <v/>
      </c>
      <c r="T148" s="7"/>
      <c r="U148" s="7"/>
      <c r="V148" s="7"/>
      <c r="W148" s="7"/>
      <c r="X148" s="7"/>
      <c r="Y148" s="7"/>
      <c r="Z148" s="15"/>
      <c r="AA148" s="15"/>
      <c r="AB148" s="11" t="str">
        <f t="shared" si="38"/>
        <v/>
      </c>
      <c r="AC148" s="11"/>
      <c r="AD148" s="11"/>
      <c r="AE148" s="11"/>
      <c r="AF148" s="11"/>
      <c r="AG148" s="11"/>
      <c r="AH148" s="11"/>
      <c r="AI148" s="11"/>
      <c r="AJ148" s="15"/>
      <c r="AK148" s="15"/>
      <c r="AL148" s="14">
        <f t="shared" si="39"/>
        <v>3</v>
      </c>
      <c r="AM148" s="11">
        <f t="shared" si="40"/>
        <v>3</v>
      </c>
      <c r="AN148" s="14">
        <f t="shared" si="41"/>
        <v>3</v>
      </c>
      <c r="AO148" s="15"/>
      <c r="AP148" s="15"/>
      <c r="AQ148" s="15"/>
    </row>
    <row r="149" spans="1:43" ht="34" hidden="1" x14ac:dyDescent="0.2">
      <c r="A149" s="7">
        <v>148</v>
      </c>
      <c r="B149" s="19" t="s">
        <v>355</v>
      </c>
      <c r="C149" s="19" t="s">
        <v>356</v>
      </c>
      <c r="D149" s="8" t="s">
        <v>34</v>
      </c>
      <c r="E149" s="19" t="s">
        <v>269</v>
      </c>
      <c r="F149" s="8" t="s">
        <v>36</v>
      </c>
      <c r="G149" s="7" t="s">
        <v>59</v>
      </c>
      <c r="H149" s="9" t="s">
        <v>44</v>
      </c>
      <c r="I149" s="10"/>
      <c r="J149" s="10" t="s">
        <v>40</v>
      </c>
      <c r="K149" s="10" t="s">
        <v>40</v>
      </c>
      <c r="L149" s="10" t="s">
        <v>40</v>
      </c>
      <c r="M149">
        <v>0</v>
      </c>
      <c r="N149">
        <v>0</v>
      </c>
      <c r="O149">
        <v>0</v>
      </c>
      <c r="P149" s="10" t="s">
        <v>44</v>
      </c>
      <c r="Q149" s="10">
        <f t="array" ref="Q149">IFERROR(SUMPRODUCT((N149:P149&gt;0)*(N149:P149))/3, 0)</f>
        <v>0</v>
      </c>
      <c r="R149" s="10"/>
      <c r="S149" s="11" t="str">
        <f t="shared" si="37"/>
        <v/>
      </c>
      <c r="T149" s="7"/>
      <c r="U149" s="7"/>
      <c r="V149" s="7"/>
      <c r="W149" s="7"/>
      <c r="X149" s="7"/>
      <c r="Y149" s="7"/>
      <c r="Z149" s="15"/>
      <c r="AA149" s="15"/>
      <c r="AB149" s="11" t="str">
        <f t="shared" si="38"/>
        <v/>
      </c>
      <c r="AC149" s="11"/>
      <c r="AD149" s="11"/>
      <c r="AE149" s="11"/>
      <c r="AF149" s="11"/>
      <c r="AG149" s="11"/>
      <c r="AH149" s="11"/>
      <c r="AI149" s="11"/>
      <c r="AJ149" s="15"/>
      <c r="AK149" s="15"/>
      <c r="AL149" s="14">
        <f t="shared" si="39"/>
        <v>3</v>
      </c>
      <c r="AM149" s="11">
        <f t="shared" si="40"/>
        <v>3</v>
      </c>
      <c r="AN149" s="14">
        <f t="shared" si="41"/>
        <v>3</v>
      </c>
      <c r="AO149" s="15"/>
      <c r="AP149" s="15"/>
      <c r="AQ149" s="15"/>
    </row>
    <row r="150" spans="1:43" ht="34" hidden="1" x14ac:dyDescent="0.2">
      <c r="A150" s="7">
        <v>149</v>
      </c>
      <c r="B150" s="19" t="s">
        <v>357</v>
      </c>
      <c r="C150" s="19" t="s">
        <v>358</v>
      </c>
      <c r="D150" s="8" t="s">
        <v>34</v>
      </c>
      <c r="E150" s="19" t="s">
        <v>269</v>
      </c>
      <c r="F150" s="8" t="s">
        <v>36</v>
      </c>
      <c r="G150" s="7" t="s">
        <v>59</v>
      </c>
      <c r="H150" s="9" t="s">
        <v>44</v>
      </c>
      <c r="I150" s="10"/>
      <c r="J150" s="10" t="s">
        <v>40</v>
      </c>
      <c r="K150" s="10" t="s">
        <v>40</v>
      </c>
      <c r="L150" s="10" t="s">
        <v>40</v>
      </c>
      <c r="M150">
        <v>0</v>
      </c>
      <c r="N150">
        <v>0</v>
      </c>
      <c r="O150">
        <v>0</v>
      </c>
      <c r="P150" s="10" t="s">
        <v>44</v>
      </c>
      <c r="Q150" s="10">
        <f t="array" ref="Q150">IFERROR(SUMPRODUCT((N150:P150&gt;0)*(N150:P150))/3, 0)</f>
        <v>0</v>
      </c>
      <c r="R150" s="10"/>
      <c r="S150" s="11" t="str">
        <f t="shared" si="37"/>
        <v/>
      </c>
      <c r="T150" s="7"/>
      <c r="U150" s="7"/>
      <c r="V150" s="7"/>
      <c r="W150" s="7"/>
      <c r="X150" s="7"/>
      <c r="Y150" s="7"/>
      <c r="Z150" s="15"/>
      <c r="AA150" s="15"/>
      <c r="AB150" s="11" t="str">
        <f t="shared" si="38"/>
        <v/>
      </c>
      <c r="AC150" s="11"/>
      <c r="AD150" s="11"/>
      <c r="AE150" s="11"/>
      <c r="AF150" s="11"/>
      <c r="AG150" s="11"/>
      <c r="AH150" s="11"/>
      <c r="AI150" s="11"/>
      <c r="AJ150" s="15"/>
      <c r="AK150" s="15"/>
      <c r="AL150" s="14">
        <f t="shared" si="39"/>
        <v>3</v>
      </c>
      <c r="AM150" s="11">
        <f t="shared" si="40"/>
        <v>3</v>
      </c>
      <c r="AN150" s="14">
        <f t="shared" si="41"/>
        <v>3</v>
      </c>
      <c r="AO150" s="15"/>
      <c r="AP150" s="15"/>
      <c r="AQ150" s="15"/>
    </row>
    <row r="151" spans="1:43" ht="34" hidden="1" x14ac:dyDescent="0.2">
      <c r="A151" s="7">
        <v>150</v>
      </c>
      <c r="B151" s="19" t="s">
        <v>359</v>
      </c>
      <c r="C151" s="19" t="s">
        <v>360</v>
      </c>
      <c r="D151" s="8" t="s">
        <v>34</v>
      </c>
      <c r="E151" s="19" t="s">
        <v>269</v>
      </c>
      <c r="F151" s="8" t="s">
        <v>36</v>
      </c>
      <c r="G151" s="7" t="s">
        <v>59</v>
      </c>
      <c r="H151" s="9" t="s">
        <v>44</v>
      </c>
      <c r="I151" s="10"/>
      <c r="J151" s="10" t="s">
        <v>40</v>
      </c>
      <c r="K151" s="10" t="s">
        <v>40</v>
      </c>
      <c r="L151" s="10" t="s">
        <v>40</v>
      </c>
      <c r="M151">
        <v>0</v>
      </c>
      <c r="N151">
        <v>0</v>
      </c>
      <c r="O151">
        <v>0</v>
      </c>
      <c r="P151" s="10" t="s">
        <v>44</v>
      </c>
      <c r="Q151" s="10">
        <f t="array" ref="Q151">IFERROR(SUMPRODUCT((N151:P151&gt;0)*(N151:P151))/3, 0)</f>
        <v>0</v>
      </c>
      <c r="R151" s="10"/>
      <c r="S151" s="11" t="str">
        <f t="shared" si="37"/>
        <v/>
      </c>
      <c r="T151" s="7"/>
      <c r="U151" s="7"/>
      <c r="V151" s="7"/>
      <c r="W151" s="7"/>
      <c r="X151" s="7"/>
      <c r="Y151" s="7"/>
      <c r="Z151" s="15"/>
      <c r="AA151" s="15"/>
      <c r="AB151" s="11" t="str">
        <f t="shared" si="38"/>
        <v/>
      </c>
      <c r="AC151" s="11"/>
      <c r="AD151" s="11"/>
      <c r="AE151" s="11"/>
      <c r="AF151" s="11"/>
      <c r="AG151" s="11"/>
      <c r="AH151" s="11"/>
      <c r="AI151" s="11"/>
      <c r="AJ151" s="15"/>
      <c r="AK151" s="15"/>
      <c r="AL151" s="14">
        <f t="shared" si="39"/>
        <v>3</v>
      </c>
      <c r="AM151" s="11">
        <f t="shared" si="40"/>
        <v>3</v>
      </c>
      <c r="AN151" s="14">
        <f t="shared" si="41"/>
        <v>3</v>
      </c>
      <c r="AO151" s="15"/>
      <c r="AP151" s="15"/>
      <c r="AQ151" s="15"/>
    </row>
    <row r="152" spans="1:43" ht="34" hidden="1" x14ac:dyDescent="0.2">
      <c r="A152" s="7">
        <v>151</v>
      </c>
      <c r="B152" s="19" t="s">
        <v>361</v>
      </c>
      <c r="C152" s="19" t="s">
        <v>362</v>
      </c>
      <c r="D152" s="8" t="s">
        <v>34</v>
      </c>
      <c r="E152" s="19" t="s">
        <v>269</v>
      </c>
      <c r="F152" s="8" t="s">
        <v>36</v>
      </c>
      <c r="G152" s="7" t="s">
        <v>59</v>
      </c>
      <c r="H152" s="9" t="s">
        <v>44</v>
      </c>
      <c r="I152" s="10"/>
      <c r="J152" s="10" t="s">
        <v>40</v>
      </c>
      <c r="K152" s="10" t="s">
        <v>40</v>
      </c>
      <c r="L152" s="10" t="s">
        <v>40</v>
      </c>
      <c r="M152">
        <v>0</v>
      </c>
      <c r="N152">
        <v>0</v>
      </c>
      <c r="O152">
        <v>0</v>
      </c>
      <c r="P152" s="10" t="s">
        <v>44</v>
      </c>
      <c r="Q152" s="10">
        <f t="array" ref="Q152">IFERROR(SUMPRODUCT((N152:P152&gt;0)*(N152:P152))/3, 0)</f>
        <v>0</v>
      </c>
      <c r="R152" s="10"/>
      <c r="S152" s="11" t="str">
        <f t="shared" si="37"/>
        <v/>
      </c>
      <c r="T152" s="7"/>
      <c r="U152" s="7"/>
      <c r="V152" s="7"/>
      <c r="W152" s="7"/>
      <c r="X152" s="7"/>
      <c r="Y152" s="7"/>
      <c r="Z152" s="15"/>
      <c r="AA152" s="15"/>
      <c r="AB152" s="11" t="str">
        <f t="shared" si="38"/>
        <v/>
      </c>
      <c r="AC152" s="11"/>
      <c r="AD152" s="11"/>
      <c r="AE152" s="11"/>
      <c r="AF152" s="11"/>
      <c r="AG152" s="11"/>
      <c r="AH152" s="11"/>
      <c r="AI152" s="11"/>
      <c r="AJ152" s="15"/>
      <c r="AK152" s="15"/>
      <c r="AL152" s="14">
        <f t="shared" si="39"/>
        <v>3</v>
      </c>
      <c r="AM152" s="11">
        <f t="shared" si="40"/>
        <v>3</v>
      </c>
      <c r="AN152" s="14">
        <f t="shared" si="41"/>
        <v>3</v>
      </c>
      <c r="AO152" s="15"/>
      <c r="AP152" s="15"/>
      <c r="AQ152" s="15"/>
    </row>
    <row r="153" spans="1:43" ht="34" hidden="1" x14ac:dyDescent="0.2">
      <c r="A153" s="7">
        <v>152</v>
      </c>
      <c r="B153" s="19" t="s">
        <v>363</v>
      </c>
      <c r="C153" s="19" t="s">
        <v>364</v>
      </c>
      <c r="D153" s="8" t="s">
        <v>34</v>
      </c>
      <c r="E153" s="19" t="s">
        <v>269</v>
      </c>
      <c r="F153" s="8" t="s">
        <v>36</v>
      </c>
      <c r="G153" s="7" t="s">
        <v>59</v>
      </c>
      <c r="H153" s="9" t="s">
        <v>44</v>
      </c>
      <c r="I153" s="10"/>
      <c r="J153" s="10" t="s">
        <v>40</v>
      </c>
      <c r="K153" s="10" t="s">
        <v>40</v>
      </c>
      <c r="L153" s="10" t="s">
        <v>40</v>
      </c>
      <c r="M153">
        <v>0</v>
      </c>
      <c r="N153">
        <v>0</v>
      </c>
      <c r="O153">
        <v>0</v>
      </c>
      <c r="P153" s="10" t="s">
        <v>44</v>
      </c>
      <c r="Q153" s="10">
        <f t="array" ref="Q153">IFERROR(SUMPRODUCT((N153:P153&gt;0)*(N153:P153))/3, 0)</f>
        <v>0</v>
      </c>
      <c r="R153" s="10"/>
      <c r="S153" s="11" t="str">
        <f t="shared" si="37"/>
        <v/>
      </c>
      <c r="T153" s="7"/>
      <c r="U153" s="7"/>
      <c r="V153" s="7"/>
      <c r="W153" s="7"/>
      <c r="X153" s="7"/>
      <c r="Y153" s="7"/>
      <c r="Z153" s="15"/>
      <c r="AA153" s="15"/>
      <c r="AB153" s="11" t="str">
        <f t="shared" si="38"/>
        <v/>
      </c>
      <c r="AC153" s="11"/>
      <c r="AD153" s="11"/>
      <c r="AE153" s="11"/>
      <c r="AF153" s="11"/>
      <c r="AG153" s="11"/>
      <c r="AH153" s="11"/>
      <c r="AI153" s="11"/>
      <c r="AJ153" s="15"/>
      <c r="AK153" s="15"/>
      <c r="AL153" s="14">
        <f t="shared" si="39"/>
        <v>3</v>
      </c>
      <c r="AM153" s="11">
        <f t="shared" si="40"/>
        <v>3</v>
      </c>
      <c r="AN153" s="14">
        <f t="shared" si="41"/>
        <v>3</v>
      </c>
      <c r="AO153" s="15"/>
      <c r="AP153" s="15"/>
      <c r="AQ153" s="15"/>
    </row>
    <row r="154" spans="1:43" ht="34" hidden="1" x14ac:dyDescent="0.2">
      <c r="A154" s="7">
        <v>153</v>
      </c>
      <c r="B154" s="19" t="s">
        <v>365</v>
      </c>
      <c r="C154" s="19" t="s">
        <v>366</v>
      </c>
      <c r="D154" s="8" t="s">
        <v>34</v>
      </c>
      <c r="E154" s="19" t="s">
        <v>269</v>
      </c>
      <c r="F154" s="8" t="s">
        <v>36</v>
      </c>
      <c r="G154" s="7" t="s">
        <v>59</v>
      </c>
      <c r="H154" s="9" t="s">
        <v>44</v>
      </c>
      <c r="I154" s="10"/>
      <c r="J154" s="10" t="s">
        <v>40</v>
      </c>
      <c r="K154" s="10" t="s">
        <v>40</v>
      </c>
      <c r="L154" s="10" t="s">
        <v>40</v>
      </c>
      <c r="M154">
        <v>0</v>
      </c>
      <c r="N154">
        <v>0</v>
      </c>
      <c r="O154">
        <v>0</v>
      </c>
      <c r="P154" s="10" t="s">
        <v>44</v>
      </c>
      <c r="Q154" s="10">
        <f t="array" ref="Q154">IFERROR(SUMPRODUCT((N154:P154&gt;0)*(N154:P154))/3, 0)</f>
        <v>0</v>
      </c>
      <c r="R154" s="10"/>
      <c r="S154" s="11" t="str">
        <f t="shared" si="37"/>
        <v/>
      </c>
      <c r="T154" s="7"/>
      <c r="U154" s="7"/>
      <c r="V154" s="7"/>
      <c r="W154" s="7"/>
      <c r="X154" s="7"/>
      <c r="Y154" s="7"/>
      <c r="Z154" s="15"/>
      <c r="AA154" s="15"/>
      <c r="AB154" s="11" t="str">
        <f t="shared" si="38"/>
        <v/>
      </c>
      <c r="AC154" s="11"/>
      <c r="AD154" s="11"/>
      <c r="AE154" s="11"/>
      <c r="AF154" s="11"/>
      <c r="AG154" s="11"/>
      <c r="AH154" s="11"/>
      <c r="AI154" s="11"/>
      <c r="AJ154" s="15"/>
      <c r="AK154" s="15"/>
      <c r="AL154" s="14">
        <f t="shared" si="39"/>
        <v>3</v>
      </c>
      <c r="AM154" s="11">
        <f t="shared" si="40"/>
        <v>3</v>
      </c>
      <c r="AN154" s="14">
        <f t="shared" si="41"/>
        <v>3</v>
      </c>
      <c r="AO154" s="15"/>
      <c r="AP154" s="15"/>
      <c r="AQ154" s="15"/>
    </row>
    <row r="155" spans="1:43" ht="34" hidden="1" x14ac:dyDescent="0.2">
      <c r="A155" s="7">
        <v>154</v>
      </c>
      <c r="B155" s="19" t="s">
        <v>367</v>
      </c>
      <c r="C155" s="19" t="s">
        <v>368</v>
      </c>
      <c r="D155" s="8" t="s">
        <v>34</v>
      </c>
      <c r="E155" s="19" t="s">
        <v>269</v>
      </c>
      <c r="F155" s="8" t="s">
        <v>36</v>
      </c>
      <c r="G155" s="7" t="s">
        <v>59</v>
      </c>
      <c r="H155" s="9" t="s">
        <v>44</v>
      </c>
      <c r="I155" s="10"/>
      <c r="J155" s="10" t="s">
        <v>40</v>
      </c>
      <c r="K155" s="10" t="s">
        <v>40</v>
      </c>
      <c r="L155" s="10" t="s">
        <v>40</v>
      </c>
      <c r="M155">
        <v>0</v>
      </c>
      <c r="N155">
        <v>0</v>
      </c>
      <c r="O155">
        <v>0</v>
      </c>
      <c r="P155" s="10" t="s">
        <v>44</v>
      </c>
      <c r="Q155" s="10">
        <f t="array" ref="Q155">IFERROR(SUMPRODUCT((N155:P155&gt;0)*(N155:P155))/3, 0)</f>
        <v>0</v>
      </c>
      <c r="R155" s="10"/>
      <c r="S155" s="11" t="str">
        <f t="shared" si="37"/>
        <v/>
      </c>
      <c r="T155" s="7"/>
      <c r="U155" s="7"/>
      <c r="V155" s="7"/>
      <c r="W155" s="7"/>
      <c r="X155" s="7"/>
      <c r="Y155" s="7"/>
      <c r="Z155" s="15"/>
      <c r="AA155" s="15"/>
      <c r="AB155" s="11" t="str">
        <f t="shared" si="38"/>
        <v/>
      </c>
      <c r="AC155" s="11"/>
      <c r="AD155" s="11"/>
      <c r="AE155" s="11"/>
      <c r="AF155" s="11"/>
      <c r="AG155" s="11"/>
      <c r="AH155" s="11"/>
      <c r="AI155" s="11"/>
      <c r="AJ155" s="15"/>
      <c r="AK155" s="15"/>
      <c r="AL155" s="14">
        <f t="shared" si="39"/>
        <v>3</v>
      </c>
      <c r="AM155" s="11">
        <f t="shared" si="40"/>
        <v>3</v>
      </c>
      <c r="AN155" s="14">
        <f t="shared" si="41"/>
        <v>3</v>
      </c>
      <c r="AO155" s="15"/>
      <c r="AP155" s="15"/>
      <c r="AQ155" s="15"/>
    </row>
    <row r="156" spans="1:43" ht="68" hidden="1" x14ac:dyDescent="0.2">
      <c r="A156" s="7">
        <v>155</v>
      </c>
      <c r="B156" s="19" t="s">
        <v>369</v>
      </c>
      <c r="C156" s="19" t="s">
        <v>370</v>
      </c>
      <c r="D156" s="8" t="s">
        <v>34</v>
      </c>
      <c r="E156" s="19" t="s">
        <v>269</v>
      </c>
      <c r="F156" s="8" t="s">
        <v>36</v>
      </c>
      <c r="G156" s="7" t="s">
        <v>59</v>
      </c>
      <c r="H156" s="9" t="s">
        <v>44</v>
      </c>
      <c r="I156" s="10"/>
      <c r="J156" s="10" t="s">
        <v>40</v>
      </c>
      <c r="K156" s="10" t="s">
        <v>40</v>
      </c>
      <c r="L156" s="10" t="s">
        <v>40</v>
      </c>
      <c r="M156">
        <v>0</v>
      </c>
      <c r="N156">
        <v>0</v>
      </c>
      <c r="O156">
        <v>0</v>
      </c>
      <c r="P156" s="10" t="s">
        <v>44</v>
      </c>
      <c r="Q156" s="10">
        <f t="array" ref="Q156">IFERROR(SUMPRODUCT((N156:P156&gt;0)*(N156:P156))/3, 0)</f>
        <v>0</v>
      </c>
      <c r="R156" s="10"/>
      <c r="S156" s="11" t="str">
        <f t="shared" si="37"/>
        <v/>
      </c>
      <c r="T156" s="7"/>
      <c r="U156" s="7"/>
      <c r="V156" s="7"/>
      <c r="W156" s="7"/>
      <c r="X156" s="7"/>
      <c r="Y156" s="7"/>
      <c r="Z156" s="15"/>
      <c r="AA156" s="15"/>
      <c r="AB156" s="11" t="str">
        <f t="shared" si="38"/>
        <v/>
      </c>
      <c r="AC156" s="11"/>
      <c r="AD156" s="11"/>
      <c r="AE156" s="11"/>
      <c r="AF156" s="11"/>
      <c r="AG156" s="11"/>
      <c r="AH156" s="11"/>
      <c r="AI156" s="11"/>
      <c r="AJ156" s="15"/>
      <c r="AK156" s="15"/>
      <c r="AL156" s="14">
        <f t="shared" si="39"/>
        <v>3</v>
      </c>
      <c r="AM156" s="11">
        <f t="shared" si="40"/>
        <v>3</v>
      </c>
      <c r="AN156" s="14">
        <f t="shared" si="41"/>
        <v>3</v>
      </c>
      <c r="AO156" s="15"/>
      <c r="AP156" s="15"/>
      <c r="AQ156" s="15"/>
    </row>
    <row r="157" spans="1:43" ht="34" hidden="1" x14ac:dyDescent="0.2">
      <c r="A157" s="7">
        <v>156</v>
      </c>
      <c r="B157" s="19" t="s">
        <v>371</v>
      </c>
      <c r="C157" s="19" t="s">
        <v>372</v>
      </c>
      <c r="D157" s="8" t="s">
        <v>34</v>
      </c>
      <c r="E157" s="19" t="s">
        <v>269</v>
      </c>
      <c r="F157" s="8" t="s">
        <v>36</v>
      </c>
      <c r="G157" s="7" t="s">
        <v>59</v>
      </c>
      <c r="H157" s="9" t="s">
        <v>44</v>
      </c>
      <c r="I157" s="10"/>
      <c r="J157" s="10" t="s">
        <v>40</v>
      </c>
      <c r="K157" s="10" t="s">
        <v>40</v>
      </c>
      <c r="L157" s="10" t="s">
        <v>40</v>
      </c>
      <c r="M157">
        <v>0</v>
      </c>
      <c r="N157">
        <v>0</v>
      </c>
      <c r="O157">
        <v>0</v>
      </c>
      <c r="P157" s="10" t="s">
        <v>44</v>
      </c>
      <c r="Q157" s="10">
        <f t="array" ref="Q157">IFERROR(SUMPRODUCT((N157:P157&gt;0)*(N157:P157))/3, 0)</f>
        <v>0</v>
      </c>
      <c r="R157" s="10"/>
      <c r="S157" s="11" t="str">
        <f t="shared" si="37"/>
        <v/>
      </c>
      <c r="T157" s="7"/>
      <c r="U157" s="7"/>
      <c r="V157" s="7"/>
      <c r="W157" s="7"/>
      <c r="X157" s="7"/>
      <c r="Y157" s="7"/>
      <c r="Z157" s="15"/>
      <c r="AA157" s="15"/>
      <c r="AB157" s="11" t="str">
        <f t="shared" si="38"/>
        <v/>
      </c>
      <c r="AC157" s="11"/>
      <c r="AD157" s="11"/>
      <c r="AE157" s="11"/>
      <c r="AF157" s="11"/>
      <c r="AG157" s="11"/>
      <c r="AH157" s="11"/>
      <c r="AI157" s="11"/>
      <c r="AJ157" s="15"/>
      <c r="AK157" s="15"/>
      <c r="AL157" s="14">
        <f t="shared" si="39"/>
        <v>3</v>
      </c>
      <c r="AM157" s="11">
        <f t="shared" si="40"/>
        <v>3</v>
      </c>
      <c r="AN157" s="14">
        <f t="shared" si="41"/>
        <v>3</v>
      </c>
      <c r="AO157" s="15"/>
      <c r="AP157" s="15"/>
      <c r="AQ157" s="15"/>
    </row>
    <row r="158" spans="1:43" ht="34" hidden="1" x14ac:dyDescent="0.2">
      <c r="A158" s="7">
        <v>157</v>
      </c>
      <c r="B158" s="19" t="s">
        <v>373</v>
      </c>
      <c r="C158" s="19" t="s">
        <v>374</v>
      </c>
      <c r="D158" s="8" t="s">
        <v>34</v>
      </c>
      <c r="E158" s="19" t="s">
        <v>269</v>
      </c>
      <c r="F158" s="8" t="s">
        <v>36</v>
      </c>
      <c r="G158" s="7" t="s">
        <v>59</v>
      </c>
      <c r="H158" s="9" t="s">
        <v>44</v>
      </c>
      <c r="I158" s="10"/>
      <c r="J158" s="10" t="s">
        <v>40</v>
      </c>
      <c r="K158" s="10" t="s">
        <v>40</v>
      </c>
      <c r="L158" s="10" t="s">
        <v>40</v>
      </c>
      <c r="M158">
        <v>0</v>
      </c>
      <c r="N158">
        <v>0</v>
      </c>
      <c r="O158">
        <v>0</v>
      </c>
      <c r="P158" s="10" t="s">
        <v>44</v>
      </c>
      <c r="Q158" s="10">
        <f t="array" ref="Q158">IFERROR(SUMPRODUCT((N158:P158&gt;0)*(N158:P158))/3, 0)</f>
        <v>0</v>
      </c>
      <c r="R158" s="10"/>
      <c r="S158" s="11" t="str">
        <f t="shared" si="37"/>
        <v/>
      </c>
      <c r="T158" s="7"/>
      <c r="U158" s="7"/>
      <c r="V158" s="7"/>
      <c r="W158" s="7"/>
      <c r="X158" s="7"/>
      <c r="Y158" s="7"/>
      <c r="Z158" s="15"/>
      <c r="AA158" s="15"/>
      <c r="AB158" s="11" t="str">
        <f t="shared" si="38"/>
        <v/>
      </c>
      <c r="AC158" s="11"/>
      <c r="AD158" s="11"/>
      <c r="AE158" s="11"/>
      <c r="AF158" s="11"/>
      <c r="AG158" s="11"/>
      <c r="AH158" s="11"/>
      <c r="AI158" s="11"/>
      <c r="AJ158" s="15"/>
      <c r="AK158" s="15"/>
      <c r="AL158" s="14">
        <f t="shared" si="39"/>
        <v>3</v>
      </c>
      <c r="AM158" s="11">
        <f t="shared" si="40"/>
        <v>3</v>
      </c>
      <c r="AN158" s="14">
        <f t="shared" si="41"/>
        <v>3</v>
      </c>
      <c r="AO158" s="15"/>
      <c r="AP158" s="15"/>
      <c r="AQ158" s="15"/>
    </row>
    <row r="159" spans="1:43" ht="34" hidden="1" x14ac:dyDescent="0.2">
      <c r="A159" s="7">
        <v>158</v>
      </c>
      <c r="B159" s="19" t="s">
        <v>375</v>
      </c>
      <c r="C159" s="19" t="s">
        <v>376</v>
      </c>
      <c r="D159" s="8" t="s">
        <v>34</v>
      </c>
      <c r="E159" s="19" t="s">
        <v>269</v>
      </c>
      <c r="F159" s="8" t="s">
        <v>36</v>
      </c>
      <c r="G159" s="7" t="s">
        <v>59</v>
      </c>
      <c r="H159" s="9" t="s">
        <v>44</v>
      </c>
      <c r="I159" s="10"/>
      <c r="J159" s="10" t="s">
        <v>40</v>
      </c>
      <c r="K159" s="10" t="s">
        <v>40</v>
      </c>
      <c r="L159" s="10" t="s">
        <v>40</v>
      </c>
      <c r="M159">
        <v>0</v>
      </c>
      <c r="N159">
        <v>0</v>
      </c>
      <c r="O159">
        <v>0</v>
      </c>
      <c r="P159" s="10" t="s">
        <v>44</v>
      </c>
      <c r="Q159" s="10">
        <f t="array" ref="Q159">IFERROR(SUMPRODUCT((N159:P159&gt;0)*(N159:P159))/3, 0)</f>
        <v>0</v>
      </c>
      <c r="R159" s="10"/>
      <c r="S159" s="11" t="str">
        <f t="shared" si="37"/>
        <v/>
      </c>
      <c r="T159" s="7"/>
      <c r="U159" s="7"/>
      <c r="V159" s="7"/>
      <c r="W159" s="7"/>
      <c r="X159" s="7"/>
      <c r="Y159" s="7"/>
      <c r="Z159" s="15"/>
      <c r="AA159" s="15"/>
      <c r="AB159" s="11" t="str">
        <f t="shared" si="38"/>
        <v/>
      </c>
      <c r="AC159" s="11"/>
      <c r="AD159" s="11"/>
      <c r="AE159" s="11"/>
      <c r="AF159" s="11"/>
      <c r="AG159" s="11"/>
      <c r="AH159" s="11"/>
      <c r="AI159" s="11"/>
      <c r="AJ159" s="15"/>
      <c r="AK159" s="15"/>
      <c r="AL159" s="14">
        <f t="shared" si="39"/>
        <v>3</v>
      </c>
      <c r="AM159" s="11">
        <f t="shared" si="40"/>
        <v>3</v>
      </c>
      <c r="AN159" s="14">
        <f t="shared" si="41"/>
        <v>3</v>
      </c>
      <c r="AO159" s="15"/>
      <c r="AP159" s="15"/>
      <c r="AQ159" s="15"/>
    </row>
    <row r="160" spans="1:43" ht="51" hidden="1" x14ac:dyDescent="0.2">
      <c r="A160" s="7">
        <v>159</v>
      </c>
      <c r="B160" s="19" t="s">
        <v>377</v>
      </c>
      <c r="C160" s="19" t="s">
        <v>378</v>
      </c>
      <c r="D160" s="8" t="s">
        <v>34</v>
      </c>
      <c r="E160" s="19" t="s">
        <v>269</v>
      </c>
      <c r="F160" s="8" t="s">
        <v>36</v>
      </c>
      <c r="G160" s="7" t="s">
        <v>59</v>
      </c>
      <c r="H160" s="9" t="s">
        <v>44</v>
      </c>
      <c r="I160" s="10"/>
      <c r="J160" s="10" t="s">
        <v>40</v>
      </c>
      <c r="K160" s="10" t="s">
        <v>40</v>
      </c>
      <c r="L160" s="10" t="s">
        <v>40</v>
      </c>
      <c r="M160">
        <v>0</v>
      </c>
      <c r="N160">
        <v>0</v>
      </c>
      <c r="O160">
        <v>0</v>
      </c>
      <c r="P160" s="10" t="s">
        <v>44</v>
      </c>
      <c r="Q160" s="10">
        <f t="array" ref="Q160">IFERROR(SUMPRODUCT((N160:P160&gt;0)*(N160:P160))/3, 0)</f>
        <v>0</v>
      </c>
      <c r="R160" s="10"/>
      <c r="S160" s="11" t="str">
        <f t="shared" si="37"/>
        <v/>
      </c>
      <c r="T160" s="7"/>
      <c r="U160" s="7"/>
      <c r="V160" s="7"/>
      <c r="W160" s="7"/>
      <c r="X160" s="7"/>
      <c r="Y160" s="7"/>
      <c r="Z160" s="15"/>
      <c r="AA160" s="15"/>
      <c r="AB160" s="11" t="str">
        <f t="shared" si="38"/>
        <v/>
      </c>
      <c r="AC160" s="11"/>
      <c r="AD160" s="11"/>
      <c r="AE160" s="11"/>
      <c r="AF160" s="11"/>
      <c r="AG160" s="11"/>
      <c r="AH160" s="11"/>
      <c r="AI160" s="11"/>
      <c r="AJ160" s="15"/>
      <c r="AK160" s="15"/>
      <c r="AL160" s="14">
        <f t="shared" si="39"/>
        <v>3</v>
      </c>
      <c r="AM160" s="11">
        <f t="shared" si="40"/>
        <v>3</v>
      </c>
      <c r="AN160" s="14">
        <f t="shared" si="41"/>
        <v>3</v>
      </c>
      <c r="AO160" s="15"/>
      <c r="AP160" s="15"/>
      <c r="AQ160" s="15"/>
    </row>
    <row r="161" spans="1:43" ht="34" hidden="1" x14ac:dyDescent="0.2">
      <c r="A161" s="7">
        <v>160</v>
      </c>
      <c r="B161" s="19" t="s">
        <v>379</v>
      </c>
      <c r="C161" s="19" t="s">
        <v>380</v>
      </c>
      <c r="D161" s="8" t="s">
        <v>34</v>
      </c>
      <c r="E161" s="19" t="s">
        <v>269</v>
      </c>
      <c r="F161" s="8" t="s">
        <v>36</v>
      </c>
      <c r="G161" s="7" t="s">
        <v>59</v>
      </c>
      <c r="H161" s="9" t="s">
        <v>44</v>
      </c>
      <c r="I161" s="10"/>
      <c r="J161" s="10" t="s">
        <v>40</v>
      </c>
      <c r="K161" s="10" t="s">
        <v>40</v>
      </c>
      <c r="L161" s="10" t="s">
        <v>40</v>
      </c>
      <c r="M161">
        <v>0</v>
      </c>
      <c r="N161">
        <v>0</v>
      </c>
      <c r="O161">
        <v>0</v>
      </c>
      <c r="P161" s="10" t="s">
        <v>44</v>
      </c>
      <c r="Q161" s="10">
        <f t="array" ref="Q161">IFERROR(SUMPRODUCT((N161:P161&gt;0)*(N161:P161))/3, 0)</f>
        <v>0</v>
      </c>
      <c r="R161" s="10"/>
      <c r="S161" s="11" t="str">
        <f t="shared" si="37"/>
        <v/>
      </c>
      <c r="T161" s="7"/>
      <c r="U161" s="7"/>
      <c r="V161" s="7"/>
      <c r="W161" s="7"/>
      <c r="X161" s="7"/>
      <c r="Y161" s="7"/>
      <c r="Z161" s="15"/>
      <c r="AA161" s="15"/>
      <c r="AB161" s="11" t="str">
        <f t="shared" si="38"/>
        <v/>
      </c>
      <c r="AC161" s="11"/>
      <c r="AD161" s="11"/>
      <c r="AE161" s="11"/>
      <c r="AF161" s="11"/>
      <c r="AG161" s="11"/>
      <c r="AH161" s="11"/>
      <c r="AI161" s="11"/>
      <c r="AJ161" s="15"/>
      <c r="AK161" s="15"/>
      <c r="AL161" s="14">
        <f t="shared" si="39"/>
        <v>3</v>
      </c>
      <c r="AM161" s="11">
        <f t="shared" si="40"/>
        <v>3</v>
      </c>
      <c r="AN161" s="14">
        <f t="shared" si="41"/>
        <v>3</v>
      </c>
      <c r="AO161" s="15"/>
      <c r="AP161" s="15"/>
      <c r="AQ161" s="15"/>
    </row>
    <row r="162" spans="1:43" ht="51" hidden="1" x14ac:dyDescent="0.2">
      <c r="A162" s="7">
        <v>161</v>
      </c>
      <c r="B162" s="19" t="s">
        <v>381</v>
      </c>
      <c r="C162" s="19" t="s">
        <v>382</v>
      </c>
      <c r="D162" s="8" t="s">
        <v>34</v>
      </c>
      <c r="E162" s="19" t="s">
        <v>269</v>
      </c>
      <c r="F162" s="8" t="s">
        <v>36</v>
      </c>
      <c r="G162" s="7" t="s">
        <v>59</v>
      </c>
      <c r="H162" s="9" t="s">
        <v>44</v>
      </c>
      <c r="I162" s="10"/>
      <c r="J162" s="10" t="s">
        <v>40</v>
      </c>
      <c r="K162" s="10" t="s">
        <v>40</v>
      </c>
      <c r="L162" s="10" t="s">
        <v>40</v>
      </c>
      <c r="M162">
        <v>0</v>
      </c>
      <c r="N162">
        <v>0</v>
      </c>
      <c r="O162">
        <v>0</v>
      </c>
      <c r="P162" s="10" t="s">
        <v>44</v>
      </c>
      <c r="Q162" s="10">
        <f t="array" ref="Q162">IFERROR(SUMPRODUCT((N162:P162&gt;0)*(N162:P162))/3, 0)</f>
        <v>0</v>
      </c>
      <c r="R162" s="10"/>
      <c r="S162" s="11" t="str">
        <f t="shared" si="37"/>
        <v/>
      </c>
      <c r="T162" s="7"/>
      <c r="U162" s="7"/>
      <c r="V162" s="7"/>
      <c r="W162" s="7"/>
      <c r="X162" s="7"/>
      <c r="Y162" s="7"/>
      <c r="Z162" s="15"/>
      <c r="AA162" s="15"/>
      <c r="AB162" s="11" t="str">
        <f t="shared" si="38"/>
        <v/>
      </c>
      <c r="AC162" s="11"/>
      <c r="AD162" s="11"/>
      <c r="AE162" s="11"/>
      <c r="AF162" s="11"/>
      <c r="AG162" s="11"/>
      <c r="AH162" s="11"/>
      <c r="AI162" s="11"/>
      <c r="AJ162" s="15"/>
      <c r="AK162" s="15"/>
      <c r="AL162" s="14">
        <f t="shared" si="39"/>
        <v>3</v>
      </c>
      <c r="AM162" s="11">
        <f t="shared" si="40"/>
        <v>3</v>
      </c>
      <c r="AN162" s="14">
        <f t="shared" si="41"/>
        <v>3</v>
      </c>
      <c r="AO162" s="15"/>
      <c r="AP162" s="15"/>
      <c r="AQ162" s="15"/>
    </row>
    <row r="163" spans="1:43" ht="34" hidden="1" x14ac:dyDescent="0.2">
      <c r="A163" s="7">
        <v>162</v>
      </c>
      <c r="B163" s="19" t="s">
        <v>383</v>
      </c>
      <c r="C163" s="19" t="s">
        <v>384</v>
      </c>
      <c r="D163" s="8" t="s">
        <v>34</v>
      </c>
      <c r="E163" s="19" t="s">
        <v>269</v>
      </c>
      <c r="F163" s="8" t="s">
        <v>36</v>
      </c>
      <c r="G163" s="7" t="s">
        <v>59</v>
      </c>
      <c r="H163" s="9" t="s">
        <v>44</v>
      </c>
      <c r="I163" s="10"/>
      <c r="J163" s="10" t="s">
        <v>40</v>
      </c>
      <c r="K163" s="10" t="s">
        <v>40</v>
      </c>
      <c r="L163" s="10" t="s">
        <v>40</v>
      </c>
      <c r="M163">
        <v>0</v>
      </c>
      <c r="N163">
        <v>0</v>
      </c>
      <c r="O163">
        <v>0</v>
      </c>
      <c r="P163" s="10" t="s">
        <v>44</v>
      </c>
      <c r="Q163" s="10">
        <f t="array" ref="Q163">IFERROR(SUMPRODUCT((N163:P163&gt;0)*(N163:P163))/3, 0)</f>
        <v>0</v>
      </c>
      <c r="R163" s="10"/>
      <c r="S163" s="11" t="str">
        <f t="shared" si="37"/>
        <v/>
      </c>
      <c r="T163" s="7"/>
      <c r="U163" s="7"/>
      <c r="V163" s="7"/>
      <c r="W163" s="7"/>
      <c r="X163" s="7"/>
      <c r="Y163" s="7"/>
      <c r="Z163" s="15"/>
      <c r="AA163" s="15"/>
      <c r="AB163" s="11" t="str">
        <f t="shared" si="38"/>
        <v/>
      </c>
      <c r="AC163" s="11"/>
      <c r="AD163" s="11"/>
      <c r="AE163" s="11"/>
      <c r="AF163" s="11"/>
      <c r="AG163" s="11"/>
      <c r="AH163" s="11"/>
      <c r="AI163" s="11"/>
      <c r="AJ163" s="15"/>
      <c r="AK163" s="15"/>
      <c r="AL163" s="14">
        <f t="shared" si="39"/>
        <v>3</v>
      </c>
      <c r="AM163" s="11">
        <f t="shared" si="40"/>
        <v>3</v>
      </c>
      <c r="AN163" s="14">
        <f t="shared" si="41"/>
        <v>3</v>
      </c>
      <c r="AO163" s="15"/>
      <c r="AP163" s="15"/>
      <c r="AQ163" s="15"/>
    </row>
    <row r="164" spans="1:43" ht="34" hidden="1" x14ac:dyDescent="0.2">
      <c r="A164" s="7">
        <v>163</v>
      </c>
      <c r="B164" s="19" t="s">
        <v>385</v>
      </c>
      <c r="C164" s="19" t="s">
        <v>386</v>
      </c>
      <c r="D164" s="8" t="s">
        <v>34</v>
      </c>
      <c r="E164" s="19" t="s">
        <v>269</v>
      </c>
      <c r="F164" s="8" t="s">
        <v>36</v>
      </c>
      <c r="G164" s="7" t="s">
        <v>59</v>
      </c>
      <c r="H164" s="9" t="s">
        <v>44</v>
      </c>
      <c r="I164" s="10"/>
      <c r="J164" s="10" t="s">
        <v>40</v>
      </c>
      <c r="K164" s="10" t="s">
        <v>40</v>
      </c>
      <c r="L164" s="10" t="s">
        <v>40</v>
      </c>
      <c r="M164">
        <v>0</v>
      </c>
      <c r="N164">
        <v>0</v>
      </c>
      <c r="O164">
        <v>0</v>
      </c>
      <c r="P164" s="10" t="s">
        <v>44</v>
      </c>
      <c r="Q164" s="10">
        <f t="array" ref="Q164">IFERROR(SUMPRODUCT((N164:P164&gt;0)*(N164:P164))/3, 0)</f>
        <v>0</v>
      </c>
      <c r="R164" s="10"/>
      <c r="S164" s="11" t="str">
        <f t="shared" si="37"/>
        <v/>
      </c>
      <c r="T164" s="7"/>
      <c r="U164" s="7"/>
      <c r="V164" s="7"/>
      <c r="W164" s="7"/>
      <c r="X164" s="7"/>
      <c r="Y164" s="7"/>
      <c r="Z164" s="15"/>
      <c r="AA164" s="15"/>
      <c r="AB164" s="11" t="str">
        <f t="shared" si="38"/>
        <v/>
      </c>
      <c r="AC164" s="11"/>
      <c r="AD164" s="11"/>
      <c r="AE164" s="11"/>
      <c r="AF164" s="11"/>
      <c r="AG164" s="11"/>
      <c r="AH164" s="11"/>
      <c r="AI164" s="11"/>
      <c r="AJ164" s="15"/>
      <c r="AK164" s="15"/>
      <c r="AL164" s="14">
        <f t="shared" si="39"/>
        <v>3</v>
      </c>
      <c r="AM164" s="11">
        <f t="shared" si="40"/>
        <v>3</v>
      </c>
      <c r="AN164" s="14">
        <f t="shared" si="41"/>
        <v>3</v>
      </c>
      <c r="AO164" s="15"/>
      <c r="AP164" s="15"/>
      <c r="AQ164" s="15"/>
    </row>
    <row r="165" spans="1:43" ht="34" hidden="1" x14ac:dyDescent="0.2">
      <c r="A165" s="7">
        <v>164</v>
      </c>
      <c r="B165" s="19" t="s">
        <v>387</v>
      </c>
      <c r="C165" s="19" t="s">
        <v>388</v>
      </c>
      <c r="D165" s="8" t="s">
        <v>34</v>
      </c>
      <c r="E165" s="19" t="s">
        <v>269</v>
      </c>
      <c r="F165" s="8" t="s">
        <v>36</v>
      </c>
      <c r="G165" s="7" t="s">
        <v>59</v>
      </c>
      <c r="H165" s="9" t="s">
        <v>44</v>
      </c>
      <c r="I165" s="10"/>
      <c r="J165" s="10" t="s">
        <v>40</v>
      </c>
      <c r="K165" s="10" t="s">
        <v>40</v>
      </c>
      <c r="L165" s="10" t="s">
        <v>40</v>
      </c>
      <c r="M165">
        <v>0</v>
      </c>
      <c r="N165">
        <v>0</v>
      </c>
      <c r="O165">
        <v>0</v>
      </c>
      <c r="P165" s="10" t="s">
        <v>44</v>
      </c>
      <c r="Q165" s="10">
        <f t="array" ref="Q165">IFERROR(SUMPRODUCT((N165:P165&gt;0)*(N165:P165))/3, 0)</f>
        <v>0</v>
      </c>
      <c r="R165" s="10"/>
      <c r="S165" s="11" t="str">
        <f t="shared" si="37"/>
        <v/>
      </c>
      <c r="T165" s="7"/>
      <c r="U165" s="7"/>
      <c r="V165" s="7"/>
      <c r="W165" s="7"/>
      <c r="X165" s="7"/>
      <c r="Y165" s="7"/>
      <c r="Z165" s="15"/>
      <c r="AA165" s="15"/>
      <c r="AB165" s="11" t="str">
        <f t="shared" si="38"/>
        <v/>
      </c>
      <c r="AC165" s="11"/>
      <c r="AD165" s="11"/>
      <c r="AE165" s="11"/>
      <c r="AF165" s="11"/>
      <c r="AG165" s="11"/>
      <c r="AH165" s="11"/>
      <c r="AI165" s="11"/>
      <c r="AJ165" s="15"/>
      <c r="AK165" s="15"/>
      <c r="AL165" s="14">
        <f t="shared" si="39"/>
        <v>3</v>
      </c>
      <c r="AM165" s="11">
        <f t="shared" si="40"/>
        <v>3</v>
      </c>
      <c r="AN165" s="14">
        <f t="shared" si="41"/>
        <v>3</v>
      </c>
      <c r="AO165" s="15"/>
      <c r="AP165" s="15"/>
      <c r="AQ165" s="15"/>
    </row>
    <row r="166" spans="1:43" ht="34" hidden="1" x14ac:dyDescent="0.2">
      <c r="A166" s="7">
        <v>165</v>
      </c>
      <c r="B166" s="19" t="s">
        <v>389</v>
      </c>
      <c r="C166" s="19" t="s">
        <v>390</v>
      </c>
      <c r="D166" s="8" t="s">
        <v>34</v>
      </c>
      <c r="E166" s="19" t="s">
        <v>269</v>
      </c>
      <c r="F166" s="8" t="s">
        <v>36</v>
      </c>
      <c r="G166" s="7" t="s">
        <v>59</v>
      </c>
      <c r="H166" s="9" t="s">
        <v>44</v>
      </c>
      <c r="I166" s="10"/>
      <c r="J166" s="10" t="s">
        <v>40</v>
      </c>
      <c r="K166" s="10" t="s">
        <v>40</v>
      </c>
      <c r="L166" s="10" t="s">
        <v>40</v>
      </c>
      <c r="M166">
        <v>0</v>
      </c>
      <c r="N166">
        <v>0</v>
      </c>
      <c r="O166">
        <v>0</v>
      </c>
      <c r="P166" s="10" t="s">
        <v>44</v>
      </c>
      <c r="Q166" s="10">
        <f t="array" ref="Q166">IFERROR(SUMPRODUCT((N166:P166&gt;0)*(N166:P166))/3, 0)</f>
        <v>0</v>
      </c>
      <c r="R166" s="10"/>
      <c r="S166" s="11" t="str">
        <f t="shared" si="37"/>
        <v/>
      </c>
      <c r="T166" s="7"/>
      <c r="U166" s="7"/>
      <c r="V166" s="7"/>
      <c r="W166" s="7"/>
      <c r="X166" s="7"/>
      <c r="Y166" s="7"/>
      <c r="Z166" s="15"/>
      <c r="AA166" s="15"/>
      <c r="AB166" s="11" t="str">
        <f t="shared" si="38"/>
        <v/>
      </c>
      <c r="AC166" s="11"/>
      <c r="AD166" s="11"/>
      <c r="AE166" s="11"/>
      <c r="AF166" s="11"/>
      <c r="AG166" s="11"/>
      <c r="AH166" s="11"/>
      <c r="AI166" s="11"/>
      <c r="AJ166" s="15"/>
      <c r="AK166" s="15"/>
      <c r="AL166" s="14">
        <f t="shared" si="39"/>
        <v>3</v>
      </c>
      <c r="AM166" s="11">
        <f t="shared" si="40"/>
        <v>3</v>
      </c>
      <c r="AN166" s="14">
        <f t="shared" si="41"/>
        <v>3</v>
      </c>
      <c r="AO166" s="15"/>
      <c r="AP166" s="15"/>
      <c r="AQ166" s="15"/>
    </row>
    <row r="167" spans="1:43" ht="34" hidden="1" x14ac:dyDescent="0.2">
      <c r="A167" s="7">
        <v>166</v>
      </c>
      <c r="B167" s="19" t="s">
        <v>391</v>
      </c>
      <c r="C167" s="19" t="s">
        <v>392</v>
      </c>
      <c r="D167" s="8" t="s">
        <v>34</v>
      </c>
      <c r="E167" s="19" t="s">
        <v>269</v>
      </c>
      <c r="F167" s="8" t="s">
        <v>36</v>
      </c>
      <c r="G167" s="7" t="s">
        <v>59</v>
      </c>
      <c r="H167" s="9" t="s">
        <v>44</v>
      </c>
      <c r="I167" s="10"/>
      <c r="J167" s="10" t="s">
        <v>40</v>
      </c>
      <c r="K167" s="10" t="s">
        <v>40</v>
      </c>
      <c r="L167" s="10" t="s">
        <v>40</v>
      </c>
      <c r="M167">
        <v>0</v>
      </c>
      <c r="N167">
        <v>0</v>
      </c>
      <c r="O167">
        <v>0</v>
      </c>
      <c r="P167" s="10" t="s">
        <v>44</v>
      </c>
      <c r="Q167" s="10">
        <f t="array" ref="Q167">IFERROR(SUMPRODUCT((N167:P167&gt;0)*(N167:P167))/3, 0)</f>
        <v>0</v>
      </c>
      <c r="R167" s="10"/>
      <c r="S167" s="11" t="str">
        <f t="shared" si="37"/>
        <v/>
      </c>
      <c r="T167" s="7"/>
      <c r="U167" s="7"/>
      <c r="V167" s="7"/>
      <c r="W167" s="7"/>
      <c r="X167" s="7"/>
      <c r="Y167" s="7"/>
      <c r="Z167" s="15"/>
      <c r="AA167" s="15"/>
      <c r="AB167" s="11" t="str">
        <f t="shared" si="38"/>
        <v/>
      </c>
      <c r="AC167" s="11"/>
      <c r="AD167" s="11"/>
      <c r="AE167" s="11"/>
      <c r="AF167" s="11"/>
      <c r="AG167" s="11"/>
      <c r="AH167" s="11"/>
      <c r="AI167" s="11"/>
      <c r="AJ167" s="15"/>
      <c r="AK167" s="15"/>
      <c r="AL167" s="14">
        <f t="shared" si="39"/>
        <v>3</v>
      </c>
      <c r="AM167" s="11">
        <f t="shared" si="40"/>
        <v>3</v>
      </c>
      <c r="AN167" s="14">
        <f t="shared" si="41"/>
        <v>3</v>
      </c>
      <c r="AO167" s="15"/>
      <c r="AP167" s="15"/>
      <c r="AQ167" s="15"/>
    </row>
    <row r="168" spans="1:43" ht="34" hidden="1" x14ac:dyDescent="0.2">
      <c r="A168" s="7">
        <v>167</v>
      </c>
      <c r="B168" s="19" t="s">
        <v>393</v>
      </c>
      <c r="C168" s="19" t="s">
        <v>394</v>
      </c>
      <c r="D168" s="8" t="s">
        <v>34</v>
      </c>
      <c r="E168" s="19" t="s">
        <v>269</v>
      </c>
      <c r="F168" s="8" t="s">
        <v>36</v>
      </c>
      <c r="G168" s="7" t="s">
        <v>59</v>
      </c>
      <c r="H168" s="9" t="s">
        <v>44</v>
      </c>
      <c r="I168" s="10"/>
      <c r="J168" s="10" t="s">
        <v>40</v>
      </c>
      <c r="K168" s="10" t="s">
        <v>40</v>
      </c>
      <c r="L168" s="10" t="s">
        <v>40</v>
      </c>
      <c r="M168">
        <v>0</v>
      </c>
      <c r="N168">
        <v>0</v>
      </c>
      <c r="O168">
        <v>0</v>
      </c>
      <c r="P168" s="10" t="s">
        <v>44</v>
      </c>
      <c r="Q168" s="10">
        <f t="array" ref="Q168">IFERROR(SUMPRODUCT((N168:P168&gt;0)*(N168:P168))/3, 0)</f>
        <v>0</v>
      </c>
      <c r="R168" s="10"/>
      <c r="S168" s="11" t="str">
        <f t="shared" si="37"/>
        <v/>
      </c>
      <c r="T168" s="7"/>
      <c r="U168" s="7"/>
      <c r="V168" s="7"/>
      <c r="W168" s="7"/>
      <c r="X168" s="7"/>
      <c r="Y168" s="7"/>
      <c r="Z168" s="15"/>
      <c r="AA168" s="15"/>
      <c r="AB168" s="11" t="str">
        <f t="shared" si="38"/>
        <v/>
      </c>
      <c r="AC168" s="11"/>
      <c r="AD168" s="11"/>
      <c r="AE168" s="11"/>
      <c r="AF168" s="11"/>
      <c r="AG168" s="11"/>
      <c r="AH168" s="11"/>
      <c r="AI168" s="11"/>
      <c r="AJ168" s="15"/>
      <c r="AK168" s="15"/>
      <c r="AL168" s="14">
        <f t="shared" si="39"/>
        <v>3</v>
      </c>
      <c r="AM168" s="11">
        <f t="shared" si="40"/>
        <v>3</v>
      </c>
      <c r="AN168" s="14">
        <f t="shared" si="41"/>
        <v>3</v>
      </c>
      <c r="AO168" s="15"/>
      <c r="AP168" s="15"/>
      <c r="AQ168" s="15"/>
    </row>
    <row r="169" spans="1:43" ht="34" hidden="1" x14ac:dyDescent="0.2">
      <c r="A169" s="7">
        <v>168</v>
      </c>
      <c r="B169" s="19" t="s">
        <v>395</v>
      </c>
      <c r="C169" s="19" t="s">
        <v>396</v>
      </c>
      <c r="D169" s="8" t="s">
        <v>34</v>
      </c>
      <c r="E169" s="19" t="s">
        <v>269</v>
      </c>
      <c r="F169" s="8" t="s">
        <v>36</v>
      </c>
      <c r="G169" s="7" t="s">
        <v>59</v>
      </c>
      <c r="H169" s="9" t="s">
        <v>44</v>
      </c>
      <c r="I169" s="10"/>
      <c r="J169" s="10" t="s">
        <v>40</v>
      </c>
      <c r="K169" s="10" t="s">
        <v>40</v>
      </c>
      <c r="L169" s="10" t="s">
        <v>40</v>
      </c>
      <c r="M169">
        <v>0</v>
      </c>
      <c r="N169">
        <v>0</v>
      </c>
      <c r="O169">
        <v>0</v>
      </c>
      <c r="P169" s="10" t="s">
        <v>44</v>
      </c>
      <c r="Q169" s="10">
        <f t="array" ref="Q169">IFERROR(SUMPRODUCT((N169:P169&gt;0)*(N169:P169))/3, 0)</f>
        <v>0</v>
      </c>
      <c r="R169" s="10"/>
      <c r="S169" s="11" t="str">
        <f t="shared" si="37"/>
        <v/>
      </c>
      <c r="T169" s="7"/>
      <c r="U169" s="7"/>
      <c r="V169" s="7"/>
      <c r="W169" s="7"/>
      <c r="X169" s="7"/>
      <c r="Y169" s="7"/>
      <c r="Z169" s="15"/>
      <c r="AA169" s="15"/>
      <c r="AB169" s="11" t="str">
        <f t="shared" si="38"/>
        <v/>
      </c>
      <c r="AC169" s="11"/>
      <c r="AD169" s="11"/>
      <c r="AE169" s="11"/>
      <c r="AF169" s="11"/>
      <c r="AG169" s="11"/>
      <c r="AH169" s="11"/>
      <c r="AI169" s="11"/>
      <c r="AJ169" s="15"/>
      <c r="AK169" s="15"/>
      <c r="AL169" s="14">
        <f t="shared" si="39"/>
        <v>3</v>
      </c>
      <c r="AM169" s="11">
        <f t="shared" si="40"/>
        <v>3</v>
      </c>
      <c r="AN169" s="14">
        <f t="shared" si="41"/>
        <v>3</v>
      </c>
      <c r="AO169" s="15"/>
      <c r="AP169" s="15"/>
      <c r="AQ169" s="15"/>
    </row>
    <row r="170" spans="1:43" ht="34" hidden="1" x14ac:dyDescent="0.2">
      <c r="A170" s="7">
        <v>169</v>
      </c>
      <c r="B170" s="19" t="s">
        <v>397</v>
      </c>
      <c r="C170" s="19" t="s">
        <v>398</v>
      </c>
      <c r="D170" s="8" t="s">
        <v>34</v>
      </c>
      <c r="E170" s="19" t="s">
        <v>269</v>
      </c>
      <c r="F170" s="8" t="s">
        <v>36</v>
      </c>
      <c r="G170" s="7" t="s">
        <v>59</v>
      </c>
      <c r="H170" s="9" t="s">
        <v>44</v>
      </c>
      <c r="I170" s="10"/>
      <c r="J170" s="10" t="s">
        <v>40</v>
      </c>
      <c r="K170" s="10" t="s">
        <v>40</v>
      </c>
      <c r="L170" s="10" t="s">
        <v>40</v>
      </c>
      <c r="M170">
        <v>0</v>
      </c>
      <c r="N170">
        <v>0</v>
      </c>
      <c r="O170">
        <v>0</v>
      </c>
      <c r="P170" s="10" t="s">
        <v>44</v>
      </c>
      <c r="Q170" s="10">
        <f t="array" ref="Q170">IFERROR(SUMPRODUCT((N170:P170&gt;0)*(N170:P170))/3, 0)</f>
        <v>0</v>
      </c>
      <c r="R170" s="10"/>
      <c r="S170" s="11" t="str">
        <f t="shared" si="37"/>
        <v/>
      </c>
      <c r="T170" s="7"/>
      <c r="U170" s="7"/>
      <c r="V170" s="7"/>
      <c r="W170" s="7"/>
      <c r="X170" s="7"/>
      <c r="Y170" s="7"/>
      <c r="Z170" s="15"/>
      <c r="AA170" s="15"/>
      <c r="AB170" s="11" t="str">
        <f t="shared" si="38"/>
        <v/>
      </c>
      <c r="AC170" s="11"/>
      <c r="AD170" s="11"/>
      <c r="AE170" s="11"/>
      <c r="AF170" s="11"/>
      <c r="AG170" s="11"/>
      <c r="AH170" s="11"/>
      <c r="AI170" s="11"/>
      <c r="AJ170" s="15"/>
      <c r="AK170" s="15"/>
      <c r="AL170" s="14">
        <f t="shared" si="39"/>
        <v>3</v>
      </c>
      <c r="AM170" s="11">
        <f t="shared" si="40"/>
        <v>3</v>
      </c>
      <c r="AN170" s="14">
        <f t="shared" si="41"/>
        <v>3</v>
      </c>
      <c r="AO170" s="15"/>
      <c r="AP170" s="15"/>
      <c r="AQ170" s="15"/>
    </row>
    <row r="171" spans="1:43" ht="51" hidden="1" x14ac:dyDescent="0.2">
      <c r="A171" s="7">
        <v>170</v>
      </c>
      <c r="B171" s="19" t="s">
        <v>399</v>
      </c>
      <c r="C171" s="19" t="s">
        <v>400</v>
      </c>
      <c r="D171" s="8" t="s">
        <v>34</v>
      </c>
      <c r="E171" s="19" t="s">
        <v>269</v>
      </c>
      <c r="F171" s="8" t="s">
        <v>36</v>
      </c>
      <c r="G171" s="7" t="s">
        <v>59</v>
      </c>
      <c r="H171" s="9" t="s">
        <v>44</v>
      </c>
      <c r="I171" s="10"/>
      <c r="J171" s="10" t="s">
        <v>40</v>
      </c>
      <c r="K171" s="10" t="s">
        <v>40</v>
      </c>
      <c r="L171" s="10" t="s">
        <v>40</v>
      </c>
      <c r="M171">
        <v>0</v>
      </c>
      <c r="N171">
        <v>0</v>
      </c>
      <c r="O171">
        <v>0</v>
      </c>
      <c r="P171" s="10" t="s">
        <v>44</v>
      </c>
      <c r="Q171" s="10">
        <f t="array" ref="Q171">IFERROR(SUMPRODUCT((N171:P171&gt;0)*(N171:P171))/3, 0)</f>
        <v>0</v>
      </c>
      <c r="R171" s="10"/>
      <c r="S171" s="11" t="str">
        <f t="shared" si="37"/>
        <v/>
      </c>
      <c r="T171" s="7"/>
      <c r="U171" s="7"/>
      <c r="V171" s="7"/>
      <c r="W171" s="7"/>
      <c r="X171" s="7"/>
      <c r="Y171" s="7"/>
      <c r="Z171" s="15"/>
      <c r="AA171" s="15"/>
      <c r="AB171" s="11" t="str">
        <f t="shared" si="38"/>
        <v/>
      </c>
      <c r="AC171" s="11"/>
      <c r="AD171" s="11"/>
      <c r="AE171" s="11"/>
      <c r="AF171" s="11"/>
      <c r="AG171" s="11"/>
      <c r="AH171" s="11"/>
      <c r="AI171" s="11"/>
      <c r="AJ171" s="15"/>
      <c r="AK171" s="15"/>
      <c r="AL171" s="14">
        <f t="shared" si="39"/>
        <v>3</v>
      </c>
      <c r="AM171" s="11">
        <f t="shared" si="40"/>
        <v>3</v>
      </c>
      <c r="AN171" s="14">
        <f t="shared" si="41"/>
        <v>3</v>
      </c>
      <c r="AO171" s="15"/>
      <c r="AP171" s="15"/>
      <c r="AQ171" s="15"/>
    </row>
    <row r="172" spans="1:43" ht="34" hidden="1" x14ac:dyDescent="0.2">
      <c r="A172" s="7">
        <v>171</v>
      </c>
      <c r="B172" s="19" t="s">
        <v>401</v>
      </c>
      <c r="C172" s="19" t="s">
        <v>402</v>
      </c>
      <c r="D172" s="8" t="s">
        <v>34</v>
      </c>
      <c r="E172" s="19" t="s">
        <v>269</v>
      </c>
      <c r="F172" s="8" t="s">
        <v>36</v>
      </c>
      <c r="G172" s="7" t="s">
        <v>59</v>
      </c>
      <c r="H172" s="9" t="s">
        <v>44</v>
      </c>
      <c r="I172" s="10"/>
      <c r="J172" s="10" t="s">
        <v>40</v>
      </c>
      <c r="K172" s="10" t="s">
        <v>40</v>
      </c>
      <c r="L172" s="10" t="s">
        <v>40</v>
      </c>
      <c r="M172">
        <v>0</v>
      </c>
      <c r="N172">
        <v>0</v>
      </c>
      <c r="O172">
        <v>0</v>
      </c>
      <c r="P172" s="10" t="s">
        <v>44</v>
      </c>
      <c r="Q172" s="10">
        <f t="array" ref="Q172">IFERROR(SUMPRODUCT((N172:P172&gt;0)*(N172:P172))/3, 0)</f>
        <v>0</v>
      </c>
      <c r="R172" s="10"/>
      <c r="S172" s="11" t="str">
        <f t="shared" si="37"/>
        <v/>
      </c>
      <c r="T172" s="7"/>
      <c r="U172" s="7"/>
      <c r="V172" s="7"/>
      <c r="W172" s="7"/>
      <c r="X172" s="7"/>
      <c r="Y172" s="7"/>
      <c r="Z172" s="15"/>
      <c r="AA172" s="15"/>
      <c r="AB172" s="11" t="str">
        <f t="shared" si="38"/>
        <v/>
      </c>
      <c r="AC172" s="11"/>
      <c r="AD172" s="11"/>
      <c r="AE172" s="11"/>
      <c r="AF172" s="11"/>
      <c r="AG172" s="11"/>
      <c r="AH172" s="11"/>
      <c r="AI172" s="11"/>
      <c r="AJ172" s="15"/>
      <c r="AK172" s="15"/>
      <c r="AL172" s="14">
        <f t="shared" si="39"/>
        <v>3</v>
      </c>
      <c r="AM172" s="11">
        <f t="shared" si="40"/>
        <v>3</v>
      </c>
      <c r="AN172" s="14">
        <f t="shared" si="41"/>
        <v>3</v>
      </c>
      <c r="AO172" s="15"/>
      <c r="AP172" s="15"/>
      <c r="AQ172" s="15"/>
    </row>
    <row r="173" spans="1:43" ht="34" hidden="1" x14ac:dyDescent="0.2">
      <c r="A173" s="7">
        <v>172</v>
      </c>
      <c r="B173" s="19" t="s">
        <v>403</v>
      </c>
      <c r="C173" s="19" t="s">
        <v>404</v>
      </c>
      <c r="D173" s="8" t="s">
        <v>34</v>
      </c>
      <c r="E173" s="19" t="s">
        <v>269</v>
      </c>
      <c r="F173" s="8" t="s">
        <v>36</v>
      </c>
      <c r="G173" s="7" t="s">
        <v>59</v>
      </c>
      <c r="H173" s="9" t="s">
        <v>44</v>
      </c>
      <c r="I173" s="10"/>
      <c r="J173" s="10" t="s">
        <v>40</v>
      </c>
      <c r="K173" s="10" t="s">
        <v>40</v>
      </c>
      <c r="L173" s="10" t="s">
        <v>40</v>
      </c>
      <c r="M173">
        <v>0</v>
      </c>
      <c r="N173">
        <v>0</v>
      </c>
      <c r="O173">
        <v>0</v>
      </c>
      <c r="P173" s="10" t="s">
        <v>44</v>
      </c>
      <c r="Q173" s="10">
        <f t="array" ref="Q173">IFERROR(SUMPRODUCT((N173:P173&gt;0)*(N173:P173))/3, 0)</f>
        <v>0</v>
      </c>
      <c r="R173" s="10"/>
      <c r="S173" s="11" t="str">
        <f t="shared" si="37"/>
        <v/>
      </c>
      <c r="T173" s="7"/>
      <c r="U173" s="7"/>
      <c r="V173" s="7"/>
      <c r="W173" s="7"/>
      <c r="X173" s="7"/>
      <c r="Y173" s="7"/>
      <c r="Z173" s="15"/>
      <c r="AA173" s="15"/>
      <c r="AB173" s="11" t="str">
        <f t="shared" si="38"/>
        <v/>
      </c>
      <c r="AC173" s="11"/>
      <c r="AD173" s="11"/>
      <c r="AE173" s="11"/>
      <c r="AF173" s="11"/>
      <c r="AG173" s="11"/>
      <c r="AH173" s="11"/>
      <c r="AI173" s="11"/>
      <c r="AJ173" s="15"/>
      <c r="AK173" s="15"/>
      <c r="AL173" s="14">
        <f t="shared" si="39"/>
        <v>3</v>
      </c>
      <c r="AM173" s="11">
        <f t="shared" si="40"/>
        <v>3</v>
      </c>
      <c r="AN173" s="14">
        <f t="shared" si="41"/>
        <v>3</v>
      </c>
      <c r="AO173" s="15"/>
      <c r="AP173" s="15"/>
      <c r="AQ173" s="15"/>
    </row>
    <row r="174" spans="1:43" ht="51" hidden="1" x14ac:dyDescent="0.2">
      <c r="A174" s="7">
        <v>173</v>
      </c>
      <c r="B174" s="19" t="s">
        <v>405</v>
      </c>
      <c r="C174" s="19" t="s">
        <v>406</v>
      </c>
      <c r="D174" s="8" t="s">
        <v>34</v>
      </c>
      <c r="E174" s="19" t="s">
        <v>269</v>
      </c>
      <c r="F174" s="8" t="s">
        <v>36</v>
      </c>
      <c r="G174" s="7" t="s">
        <v>59</v>
      </c>
      <c r="H174" s="9" t="s">
        <v>44</v>
      </c>
      <c r="I174" s="10"/>
      <c r="J174" s="10" t="s">
        <v>40</v>
      </c>
      <c r="K174" s="10" t="s">
        <v>40</v>
      </c>
      <c r="L174" s="10" t="s">
        <v>40</v>
      </c>
      <c r="M174">
        <v>0</v>
      </c>
      <c r="N174">
        <v>0</v>
      </c>
      <c r="O174">
        <v>0</v>
      </c>
      <c r="P174" s="10" t="s">
        <v>44</v>
      </c>
      <c r="Q174" s="10">
        <f t="array" ref="Q174">IFERROR(SUMPRODUCT((N174:P174&gt;0)*(N174:P174))/3, 0)</f>
        <v>0</v>
      </c>
      <c r="R174" s="10"/>
      <c r="S174" s="11" t="str">
        <f t="shared" si="37"/>
        <v/>
      </c>
      <c r="T174" s="7"/>
      <c r="U174" s="7"/>
      <c r="V174" s="7"/>
      <c r="W174" s="7"/>
      <c r="X174" s="7"/>
      <c r="Y174" s="7"/>
      <c r="Z174" s="15"/>
      <c r="AA174" s="15"/>
      <c r="AB174" s="11" t="str">
        <f t="shared" si="38"/>
        <v/>
      </c>
      <c r="AC174" s="11"/>
      <c r="AD174" s="11"/>
      <c r="AE174" s="11"/>
      <c r="AF174" s="11"/>
      <c r="AG174" s="11"/>
      <c r="AH174" s="11"/>
      <c r="AI174" s="11"/>
      <c r="AJ174" s="15"/>
      <c r="AK174" s="15"/>
      <c r="AL174" s="14">
        <f t="shared" si="39"/>
        <v>3</v>
      </c>
      <c r="AM174" s="11">
        <f t="shared" si="40"/>
        <v>3</v>
      </c>
      <c r="AN174" s="14">
        <f t="shared" si="41"/>
        <v>3</v>
      </c>
      <c r="AO174" s="15"/>
      <c r="AP174" s="15"/>
      <c r="AQ174" s="15"/>
    </row>
    <row r="175" spans="1:43" ht="34" hidden="1" x14ac:dyDescent="0.2">
      <c r="A175" s="7">
        <v>174</v>
      </c>
      <c r="B175" s="19" t="s">
        <v>407</v>
      </c>
      <c r="C175" s="19" t="s">
        <v>408</v>
      </c>
      <c r="D175" s="8" t="s">
        <v>34</v>
      </c>
      <c r="E175" s="19" t="s">
        <v>269</v>
      </c>
      <c r="F175" s="8" t="s">
        <v>36</v>
      </c>
      <c r="G175" s="7" t="s">
        <v>59</v>
      </c>
      <c r="H175" s="9" t="s">
        <v>44</v>
      </c>
      <c r="I175" s="10"/>
      <c r="J175" s="10" t="s">
        <v>40</v>
      </c>
      <c r="K175" s="10" t="s">
        <v>40</v>
      </c>
      <c r="L175" s="10" t="s">
        <v>40</v>
      </c>
      <c r="M175">
        <v>0</v>
      </c>
      <c r="N175">
        <v>0</v>
      </c>
      <c r="O175">
        <v>0</v>
      </c>
      <c r="P175" s="10" t="s">
        <v>44</v>
      </c>
      <c r="Q175" s="10">
        <f t="array" ref="Q175">IFERROR(SUMPRODUCT((N175:P175&gt;0)*(N175:P175))/3, 0)</f>
        <v>0</v>
      </c>
      <c r="R175" s="10"/>
      <c r="S175" s="11" t="str">
        <f t="shared" si="37"/>
        <v/>
      </c>
      <c r="T175" s="7"/>
      <c r="U175" s="7"/>
      <c r="V175" s="7"/>
      <c r="W175" s="7"/>
      <c r="X175" s="7"/>
      <c r="Y175" s="7"/>
      <c r="Z175" s="15"/>
      <c r="AA175" s="15"/>
      <c r="AB175" s="11" t="str">
        <f t="shared" si="38"/>
        <v/>
      </c>
      <c r="AC175" s="11"/>
      <c r="AD175" s="11"/>
      <c r="AE175" s="11"/>
      <c r="AF175" s="11"/>
      <c r="AG175" s="11"/>
      <c r="AH175" s="11"/>
      <c r="AI175" s="11"/>
      <c r="AJ175" s="15"/>
      <c r="AK175" s="15"/>
      <c r="AL175" s="14">
        <f t="shared" si="39"/>
        <v>3</v>
      </c>
      <c r="AM175" s="11">
        <f t="shared" si="40"/>
        <v>3</v>
      </c>
      <c r="AN175" s="14">
        <f t="shared" si="41"/>
        <v>3</v>
      </c>
      <c r="AO175" s="15"/>
      <c r="AP175" s="15"/>
      <c r="AQ175" s="15"/>
    </row>
    <row r="176" spans="1:43" ht="51" hidden="1" x14ac:dyDescent="0.2">
      <c r="A176" s="7">
        <v>175</v>
      </c>
      <c r="B176" s="19" t="s">
        <v>409</v>
      </c>
      <c r="C176" s="19" t="s">
        <v>410</v>
      </c>
      <c r="D176" s="8" t="s">
        <v>34</v>
      </c>
      <c r="E176" s="19" t="s">
        <v>269</v>
      </c>
      <c r="F176" s="8" t="s">
        <v>36</v>
      </c>
      <c r="G176" s="7" t="s">
        <v>59</v>
      </c>
      <c r="H176" s="9" t="s">
        <v>44</v>
      </c>
      <c r="I176" s="10"/>
      <c r="J176" s="10" t="s">
        <v>40</v>
      </c>
      <c r="K176" s="10" t="s">
        <v>40</v>
      </c>
      <c r="L176" s="10" t="s">
        <v>40</v>
      </c>
      <c r="M176">
        <v>0</v>
      </c>
      <c r="N176">
        <v>0</v>
      </c>
      <c r="O176">
        <v>0</v>
      </c>
      <c r="P176" s="10" t="s">
        <v>44</v>
      </c>
      <c r="Q176" s="10">
        <f t="array" ref="Q176">IFERROR(SUMPRODUCT((N176:P176&gt;0)*(N176:P176))/3, 0)</f>
        <v>0</v>
      </c>
      <c r="R176" s="10"/>
      <c r="S176" s="11" t="str">
        <f t="shared" si="37"/>
        <v/>
      </c>
      <c r="T176" s="7"/>
      <c r="U176" s="7"/>
      <c r="V176" s="7"/>
      <c r="W176" s="7"/>
      <c r="X176" s="7"/>
      <c r="Y176" s="7"/>
      <c r="Z176" s="15"/>
      <c r="AA176" s="15"/>
      <c r="AB176" s="11" t="str">
        <f t="shared" si="38"/>
        <v/>
      </c>
      <c r="AC176" s="11"/>
      <c r="AD176" s="11"/>
      <c r="AE176" s="11"/>
      <c r="AF176" s="11"/>
      <c r="AG176" s="11"/>
      <c r="AH176" s="11"/>
      <c r="AI176" s="11"/>
      <c r="AJ176" s="15"/>
      <c r="AK176" s="15"/>
      <c r="AL176" s="14">
        <f t="shared" si="39"/>
        <v>3</v>
      </c>
      <c r="AM176" s="11">
        <f t="shared" si="40"/>
        <v>3</v>
      </c>
      <c r="AN176" s="14">
        <f t="shared" si="41"/>
        <v>3</v>
      </c>
      <c r="AO176" s="15"/>
      <c r="AP176" s="15"/>
      <c r="AQ176" s="15"/>
    </row>
    <row r="177" spans="1:43" ht="34" hidden="1" x14ac:dyDescent="0.2">
      <c r="A177" s="7">
        <v>176</v>
      </c>
      <c r="B177" s="19" t="s">
        <v>411</v>
      </c>
      <c r="C177" s="19" t="s">
        <v>412</v>
      </c>
      <c r="D177" s="8" t="s">
        <v>34</v>
      </c>
      <c r="E177" s="19" t="s">
        <v>269</v>
      </c>
      <c r="F177" s="8" t="s">
        <v>36</v>
      </c>
      <c r="G177" s="7" t="s">
        <v>59</v>
      </c>
      <c r="H177" s="9" t="s">
        <v>44</v>
      </c>
      <c r="I177" s="10"/>
      <c r="J177" s="10" t="s">
        <v>40</v>
      </c>
      <c r="K177" s="10" t="s">
        <v>40</v>
      </c>
      <c r="L177" s="10" t="s">
        <v>40</v>
      </c>
      <c r="M177">
        <v>0</v>
      </c>
      <c r="N177">
        <v>0</v>
      </c>
      <c r="O177">
        <v>0</v>
      </c>
      <c r="P177" s="10" t="s">
        <v>44</v>
      </c>
      <c r="Q177" s="10">
        <f t="array" ref="Q177">IFERROR(SUMPRODUCT((N177:P177&gt;0)*(N177:P177))/3, 0)</f>
        <v>0</v>
      </c>
      <c r="R177" s="10"/>
      <c r="S177" s="11" t="str">
        <f t="shared" si="37"/>
        <v/>
      </c>
      <c r="T177" s="7"/>
      <c r="U177" s="7"/>
      <c r="V177" s="7"/>
      <c r="W177" s="7"/>
      <c r="X177" s="7"/>
      <c r="Y177" s="7"/>
      <c r="Z177" s="15"/>
      <c r="AA177" s="15"/>
      <c r="AB177" s="11" t="str">
        <f t="shared" si="38"/>
        <v/>
      </c>
      <c r="AC177" s="11"/>
      <c r="AD177" s="11"/>
      <c r="AE177" s="11"/>
      <c r="AF177" s="11"/>
      <c r="AG177" s="11"/>
      <c r="AH177" s="11"/>
      <c r="AI177" s="11"/>
      <c r="AJ177" s="15"/>
      <c r="AK177" s="15"/>
      <c r="AL177" s="14">
        <f t="shared" si="39"/>
        <v>3</v>
      </c>
      <c r="AM177" s="11">
        <f t="shared" si="40"/>
        <v>3</v>
      </c>
      <c r="AN177" s="14">
        <f t="shared" si="41"/>
        <v>3</v>
      </c>
      <c r="AO177" s="15"/>
      <c r="AP177" s="15"/>
      <c r="AQ177" s="15"/>
    </row>
    <row r="178" spans="1:43" ht="68" hidden="1" x14ac:dyDescent="0.2">
      <c r="A178" s="7">
        <v>177</v>
      </c>
      <c r="B178" s="19" t="s">
        <v>413</v>
      </c>
      <c r="C178" s="19" t="s">
        <v>414</v>
      </c>
      <c r="D178" s="8" t="s">
        <v>34</v>
      </c>
      <c r="E178" s="19" t="s">
        <v>269</v>
      </c>
      <c r="F178" s="8" t="s">
        <v>36</v>
      </c>
      <c r="G178" s="7" t="s">
        <v>59</v>
      </c>
      <c r="H178" s="9" t="s">
        <v>44</v>
      </c>
      <c r="I178" s="10"/>
      <c r="J178" s="10" t="s">
        <v>40</v>
      </c>
      <c r="K178" s="10" t="s">
        <v>40</v>
      </c>
      <c r="L178" s="10" t="s">
        <v>40</v>
      </c>
      <c r="M178">
        <v>0</v>
      </c>
      <c r="N178">
        <v>0</v>
      </c>
      <c r="O178">
        <v>0</v>
      </c>
      <c r="P178" s="10" t="s">
        <v>44</v>
      </c>
      <c r="Q178" s="10">
        <f t="array" ref="Q178">IFERROR(SUMPRODUCT((N178:P178&gt;0)*(N178:P178))/3, 0)</f>
        <v>0</v>
      </c>
      <c r="R178" s="10"/>
      <c r="S178" s="11" t="str">
        <f t="shared" si="37"/>
        <v/>
      </c>
      <c r="T178" s="7"/>
      <c r="U178" s="7"/>
      <c r="V178" s="7"/>
      <c r="W178" s="7"/>
      <c r="X178" s="7"/>
      <c r="Y178" s="7"/>
      <c r="Z178" s="15"/>
      <c r="AA178" s="15"/>
      <c r="AB178" s="11" t="str">
        <f t="shared" si="38"/>
        <v/>
      </c>
      <c r="AC178" s="11"/>
      <c r="AD178" s="11"/>
      <c r="AE178" s="11"/>
      <c r="AF178" s="11"/>
      <c r="AG178" s="11"/>
      <c r="AH178" s="11"/>
      <c r="AI178" s="11"/>
      <c r="AJ178" s="15"/>
      <c r="AK178" s="15"/>
      <c r="AL178" s="14">
        <f t="shared" si="39"/>
        <v>3</v>
      </c>
      <c r="AM178" s="11">
        <f t="shared" si="40"/>
        <v>3</v>
      </c>
      <c r="AN178" s="14">
        <f t="shared" si="41"/>
        <v>3</v>
      </c>
      <c r="AO178" s="15"/>
      <c r="AP178" s="15"/>
      <c r="AQ178" s="15"/>
    </row>
    <row r="179" spans="1:43" ht="34" hidden="1" x14ac:dyDescent="0.2">
      <c r="A179" s="7">
        <v>178</v>
      </c>
      <c r="B179" s="19" t="s">
        <v>415</v>
      </c>
      <c r="C179" s="19" t="s">
        <v>416</v>
      </c>
      <c r="D179" s="8" t="s">
        <v>34</v>
      </c>
      <c r="E179" s="19" t="s">
        <v>269</v>
      </c>
      <c r="F179" s="8" t="s">
        <v>36</v>
      </c>
      <c r="G179" s="7" t="s">
        <v>59</v>
      </c>
      <c r="H179" s="9" t="s">
        <v>44</v>
      </c>
      <c r="I179" s="10"/>
      <c r="J179" s="10" t="s">
        <v>40</v>
      </c>
      <c r="K179" s="10" t="s">
        <v>40</v>
      </c>
      <c r="L179" s="10" t="s">
        <v>40</v>
      </c>
      <c r="M179">
        <v>0</v>
      </c>
      <c r="N179">
        <v>0</v>
      </c>
      <c r="O179">
        <v>0</v>
      </c>
      <c r="P179" s="10" t="s">
        <v>44</v>
      </c>
      <c r="Q179" s="10">
        <f t="array" ref="Q179">IFERROR(SUMPRODUCT((N179:P179&gt;0)*(N179:P179))/3, 0)</f>
        <v>0</v>
      </c>
      <c r="R179" s="10"/>
      <c r="S179" s="11" t="str">
        <f t="shared" si="37"/>
        <v/>
      </c>
      <c r="T179" s="7"/>
      <c r="U179" s="7"/>
      <c r="V179" s="7"/>
      <c r="W179" s="7"/>
      <c r="X179" s="7"/>
      <c r="Y179" s="7"/>
      <c r="Z179" s="15"/>
      <c r="AA179" s="15"/>
      <c r="AB179" s="11" t="str">
        <f t="shared" si="38"/>
        <v/>
      </c>
      <c r="AC179" s="11"/>
      <c r="AD179" s="11"/>
      <c r="AE179" s="11"/>
      <c r="AF179" s="11"/>
      <c r="AG179" s="11"/>
      <c r="AH179" s="11"/>
      <c r="AI179" s="11"/>
      <c r="AJ179" s="15"/>
      <c r="AK179" s="15"/>
      <c r="AL179" s="14">
        <f t="shared" si="39"/>
        <v>3</v>
      </c>
      <c r="AM179" s="11">
        <f t="shared" si="40"/>
        <v>3</v>
      </c>
      <c r="AN179" s="14">
        <f t="shared" si="41"/>
        <v>3</v>
      </c>
      <c r="AO179" s="15"/>
      <c r="AP179" s="15"/>
      <c r="AQ179" s="15"/>
    </row>
    <row r="180" spans="1:43" ht="34" hidden="1" x14ac:dyDescent="0.2">
      <c r="A180" s="7">
        <v>179</v>
      </c>
      <c r="B180" s="19" t="s">
        <v>417</v>
      </c>
      <c r="C180" s="19" t="s">
        <v>418</v>
      </c>
      <c r="D180" s="8" t="s">
        <v>34</v>
      </c>
      <c r="E180" s="19" t="s">
        <v>269</v>
      </c>
      <c r="F180" s="8" t="s">
        <v>36</v>
      </c>
      <c r="G180" s="7" t="s">
        <v>59</v>
      </c>
      <c r="H180" s="9" t="s">
        <v>44</v>
      </c>
      <c r="I180" s="10"/>
      <c r="J180" s="10" t="s">
        <v>40</v>
      </c>
      <c r="K180" s="10" t="s">
        <v>40</v>
      </c>
      <c r="L180" s="10" t="s">
        <v>40</v>
      </c>
      <c r="M180">
        <v>0</v>
      </c>
      <c r="N180">
        <v>0</v>
      </c>
      <c r="O180">
        <v>0</v>
      </c>
      <c r="P180" s="10" t="s">
        <v>44</v>
      </c>
      <c r="Q180" s="10">
        <f t="array" ref="Q180">IFERROR(SUMPRODUCT((N180:P180&gt;0)*(N180:P180))/3, 0)</f>
        <v>0</v>
      </c>
      <c r="R180" s="10"/>
      <c r="S180" s="11" t="str">
        <f t="shared" si="37"/>
        <v/>
      </c>
      <c r="T180" s="7"/>
      <c r="U180" s="7"/>
      <c r="V180" s="7"/>
      <c r="W180" s="7"/>
      <c r="X180" s="7"/>
      <c r="Y180" s="7"/>
      <c r="Z180" s="15"/>
      <c r="AA180" s="15"/>
      <c r="AB180" s="11" t="str">
        <f t="shared" si="38"/>
        <v/>
      </c>
      <c r="AC180" s="11"/>
      <c r="AD180" s="11"/>
      <c r="AE180" s="11"/>
      <c r="AF180" s="11"/>
      <c r="AG180" s="11"/>
      <c r="AH180" s="11"/>
      <c r="AI180" s="11"/>
      <c r="AJ180" s="15"/>
      <c r="AK180" s="15"/>
      <c r="AL180" s="14">
        <f t="shared" si="39"/>
        <v>3</v>
      </c>
      <c r="AM180" s="11">
        <f t="shared" si="40"/>
        <v>3</v>
      </c>
      <c r="AN180" s="14">
        <f t="shared" si="41"/>
        <v>3</v>
      </c>
      <c r="AO180" s="15"/>
      <c r="AP180" s="15"/>
      <c r="AQ180" s="15"/>
    </row>
    <row r="181" spans="1:43" ht="34" hidden="1" x14ac:dyDescent="0.2">
      <c r="A181" s="7">
        <v>180</v>
      </c>
      <c r="B181" s="19" t="s">
        <v>419</v>
      </c>
      <c r="C181" s="19" t="s">
        <v>420</v>
      </c>
      <c r="D181" s="8" t="s">
        <v>34</v>
      </c>
      <c r="E181" s="19" t="s">
        <v>269</v>
      </c>
      <c r="F181" s="8" t="s">
        <v>36</v>
      </c>
      <c r="G181" s="7" t="s">
        <v>59</v>
      </c>
      <c r="H181" s="9" t="s">
        <v>44</v>
      </c>
      <c r="I181" s="10"/>
      <c r="J181" s="10" t="s">
        <v>40</v>
      </c>
      <c r="K181" s="10" t="s">
        <v>40</v>
      </c>
      <c r="L181" s="10" t="s">
        <v>40</v>
      </c>
      <c r="M181">
        <v>0</v>
      </c>
      <c r="N181">
        <v>0</v>
      </c>
      <c r="O181">
        <v>0</v>
      </c>
      <c r="P181" s="10" t="s">
        <v>44</v>
      </c>
      <c r="Q181" s="10">
        <f t="array" ref="Q181">IFERROR(SUMPRODUCT((N181:P181&gt;0)*(N181:P181))/3, 0)</f>
        <v>0</v>
      </c>
      <c r="R181" s="10"/>
      <c r="S181" s="11" t="str">
        <f t="shared" si="37"/>
        <v/>
      </c>
      <c r="T181" s="7"/>
      <c r="U181" s="7"/>
      <c r="V181" s="7"/>
      <c r="W181" s="7"/>
      <c r="X181" s="7"/>
      <c r="Y181" s="7"/>
      <c r="Z181" s="15"/>
      <c r="AA181" s="15"/>
      <c r="AB181" s="11" t="str">
        <f t="shared" si="38"/>
        <v/>
      </c>
      <c r="AC181" s="11"/>
      <c r="AD181" s="11"/>
      <c r="AE181" s="11"/>
      <c r="AF181" s="11"/>
      <c r="AG181" s="11"/>
      <c r="AH181" s="11"/>
      <c r="AI181" s="11"/>
      <c r="AJ181" s="15"/>
      <c r="AK181" s="15"/>
      <c r="AL181" s="14">
        <f t="shared" si="39"/>
        <v>3</v>
      </c>
      <c r="AM181" s="11">
        <f t="shared" si="40"/>
        <v>3</v>
      </c>
      <c r="AN181" s="14">
        <f t="shared" si="41"/>
        <v>3</v>
      </c>
      <c r="AO181" s="15"/>
      <c r="AP181" s="15"/>
      <c r="AQ181" s="15"/>
    </row>
    <row r="182" spans="1:43" ht="34" hidden="1" x14ac:dyDescent="0.2">
      <c r="A182" s="7">
        <v>181</v>
      </c>
      <c r="B182" s="19" t="s">
        <v>421</v>
      </c>
      <c r="C182" s="19" t="s">
        <v>422</v>
      </c>
      <c r="D182" s="8" t="s">
        <v>34</v>
      </c>
      <c r="E182" s="19" t="s">
        <v>269</v>
      </c>
      <c r="F182" s="8" t="s">
        <v>36</v>
      </c>
      <c r="G182" s="7" t="s">
        <v>59</v>
      </c>
      <c r="H182" s="9" t="s">
        <v>44</v>
      </c>
      <c r="I182" s="10"/>
      <c r="J182" s="10" t="s">
        <v>40</v>
      </c>
      <c r="K182" s="10" t="s">
        <v>40</v>
      </c>
      <c r="L182" s="10" t="s">
        <v>40</v>
      </c>
      <c r="M182">
        <v>0</v>
      </c>
      <c r="N182">
        <v>0</v>
      </c>
      <c r="O182">
        <v>0</v>
      </c>
      <c r="P182" s="10" t="s">
        <v>44</v>
      </c>
      <c r="Q182" s="10">
        <f t="array" ref="Q182">IFERROR(SUMPRODUCT((N182:P182&gt;0)*(N182:P182))/3, 0)</f>
        <v>0</v>
      </c>
      <c r="R182" s="10"/>
      <c r="S182" s="11" t="str">
        <f t="shared" si="37"/>
        <v/>
      </c>
      <c r="T182" s="7"/>
      <c r="U182" s="7"/>
      <c r="V182" s="7"/>
      <c r="W182" s="7"/>
      <c r="X182" s="7"/>
      <c r="Y182" s="7"/>
      <c r="Z182" s="15"/>
      <c r="AA182" s="15"/>
      <c r="AB182" s="11" t="str">
        <f t="shared" si="38"/>
        <v/>
      </c>
      <c r="AC182" s="11"/>
      <c r="AD182" s="11"/>
      <c r="AE182" s="11"/>
      <c r="AF182" s="11"/>
      <c r="AG182" s="11"/>
      <c r="AH182" s="11"/>
      <c r="AI182" s="11"/>
      <c r="AJ182" s="15"/>
      <c r="AK182" s="15"/>
      <c r="AL182" s="14">
        <f t="shared" si="39"/>
        <v>3</v>
      </c>
      <c r="AM182" s="11">
        <f t="shared" si="40"/>
        <v>3</v>
      </c>
      <c r="AN182" s="14">
        <f t="shared" si="41"/>
        <v>3</v>
      </c>
      <c r="AO182" s="15"/>
      <c r="AP182" s="15"/>
      <c r="AQ182" s="15"/>
    </row>
    <row r="183" spans="1:43" ht="51" hidden="1" x14ac:dyDescent="0.2">
      <c r="A183" s="7">
        <v>182</v>
      </c>
      <c r="B183" s="19" t="s">
        <v>423</v>
      </c>
      <c r="C183" s="19" t="s">
        <v>424</v>
      </c>
      <c r="D183" s="8" t="s">
        <v>34</v>
      </c>
      <c r="E183" s="19" t="s">
        <v>269</v>
      </c>
      <c r="F183" s="8" t="s">
        <v>36</v>
      </c>
      <c r="G183" s="7" t="s">
        <v>59</v>
      </c>
      <c r="H183" s="9" t="s">
        <v>44</v>
      </c>
      <c r="I183" s="10"/>
      <c r="J183" s="10" t="s">
        <v>40</v>
      </c>
      <c r="K183" s="10" t="s">
        <v>40</v>
      </c>
      <c r="L183" s="10" t="s">
        <v>40</v>
      </c>
      <c r="M183">
        <v>0</v>
      </c>
      <c r="N183">
        <v>0</v>
      </c>
      <c r="O183">
        <v>0</v>
      </c>
      <c r="P183" s="10" t="s">
        <v>44</v>
      </c>
      <c r="Q183" s="10">
        <f t="array" ref="Q183">IFERROR(SUMPRODUCT((N183:P183&gt;0)*(N183:P183))/3, 0)</f>
        <v>0</v>
      </c>
      <c r="R183" s="10"/>
      <c r="S183" s="11" t="str">
        <f t="shared" si="37"/>
        <v/>
      </c>
      <c r="T183" s="7"/>
      <c r="U183" s="7"/>
      <c r="V183" s="7"/>
      <c r="W183" s="7"/>
      <c r="X183" s="7"/>
      <c r="Y183" s="7"/>
      <c r="Z183" s="15"/>
      <c r="AA183" s="15"/>
      <c r="AB183" s="11" t="str">
        <f t="shared" si="38"/>
        <v/>
      </c>
      <c r="AC183" s="11"/>
      <c r="AD183" s="11"/>
      <c r="AE183" s="11"/>
      <c r="AF183" s="11"/>
      <c r="AG183" s="11"/>
      <c r="AH183" s="11"/>
      <c r="AI183" s="11"/>
      <c r="AJ183" s="15"/>
      <c r="AK183" s="15"/>
      <c r="AL183" s="14">
        <f t="shared" si="39"/>
        <v>3</v>
      </c>
      <c r="AM183" s="11">
        <f t="shared" si="40"/>
        <v>3</v>
      </c>
      <c r="AN183" s="14">
        <f t="shared" si="41"/>
        <v>3</v>
      </c>
      <c r="AO183" s="15"/>
      <c r="AP183" s="15"/>
      <c r="AQ183" s="15"/>
    </row>
    <row r="184" spans="1:43" ht="34" hidden="1" x14ac:dyDescent="0.2">
      <c r="A184" s="7">
        <v>183</v>
      </c>
      <c r="B184" s="19" t="s">
        <v>425</v>
      </c>
      <c r="C184" s="19" t="s">
        <v>426</v>
      </c>
      <c r="D184" s="8" t="s">
        <v>34</v>
      </c>
      <c r="E184" s="19" t="s">
        <v>269</v>
      </c>
      <c r="F184" s="8" t="s">
        <v>36</v>
      </c>
      <c r="G184" s="7" t="s">
        <v>59</v>
      </c>
      <c r="H184" s="9" t="s">
        <v>44</v>
      </c>
      <c r="I184" s="10"/>
      <c r="J184" s="10" t="s">
        <v>40</v>
      </c>
      <c r="K184" s="10" t="s">
        <v>40</v>
      </c>
      <c r="L184" s="10" t="s">
        <v>40</v>
      </c>
      <c r="M184">
        <v>0</v>
      </c>
      <c r="N184">
        <v>0</v>
      </c>
      <c r="O184">
        <v>0</v>
      </c>
      <c r="P184" s="10" t="s">
        <v>44</v>
      </c>
      <c r="Q184" s="10">
        <f t="array" ref="Q184">IFERROR(SUMPRODUCT((N184:P184&gt;0)*(N184:P184))/3, 0)</f>
        <v>0</v>
      </c>
      <c r="R184" s="10"/>
      <c r="S184" s="11" t="str">
        <f t="shared" si="37"/>
        <v/>
      </c>
      <c r="T184" s="7"/>
      <c r="U184" s="7"/>
      <c r="V184" s="7"/>
      <c r="W184" s="7"/>
      <c r="X184" s="7"/>
      <c r="Y184" s="7"/>
      <c r="Z184" s="15"/>
      <c r="AA184" s="15"/>
      <c r="AB184" s="11" t="str">
        <f t="shared" si="38"/>
        <v/>
      </c>
      <c r="AC184" s="11"/>
      <c r="AD184" s="11"/>
      <c r="AE184" s="11"/>
      <c r="AF184" s="11"/>
      <c r="AG184" s="11"/>
      <c r="AH184" s="11"/>
      <c r="AI184" s="11"/>
      <c r="AJ184" s="15"/>
      <c r="AK184" s="15"/>
      <c r="AL184" s="14">
        <f t="shared" si="39"/>
        <v>3</v>
      </c>
      <c r="AM184" s="11">
        <f t="shared" si="40"/>
        <v>3</v>
      </c>
      <c r="AN184" s="14">
        <f t="shared" si="41"/>
        <v>3</v>
      </c>
      <c r="AO184" s="15"/>
      <c r="AP184" s="15"/>
      <c r="AQ184" s="15"/>
    </row>
    <row r="185" spans="1:43" ht="51" hidden="1" x14ac:dyDescent="0.2">
      <c r="A185" s="7">
        <v>184</v>
      </c>
      <c r="B185" s="19" t="s">
        <v>427</v>
      </c>
      <c r="C185" s="19" t="s">
        <v>428</v>
      </c>
      <c r="D185" s="8" t="s">
        <v>34</v>
      </c>
      <c r="E185" s="19" t="s">
        <v>269</v>
      </c>
      <c r="F185" s="8" t="s">
        <v>36</v>
      </c>
      <c r="G185" s="7" t="s">
        <v>59</v>
      </c>
      <c r="H185" s="9" t="s">
        <v>44</v>
      </c>
      <c r="I185" s="10"/>
      <c r="J185" s="10" t="s">
        <v>40</v>
      </c>
      <c r="K185" s="10" t="s">
        <v>40</v>
      </c>
      <c r="L185" s="10" t="s">
        <v>40</v>
      </c>
      <c r="M185">
        <v>0</v>
      </c>
      <c r="N185">
        <v>0</v>
      </c>
      <c r="O185">
        <v>0</v>
      </c>
      <c r="P185" s="10" t="s">
        <v>44</v>
      </c>
      <c r="Q185" s="10">
        <f t="array" ref="Q185">IFERROR(SUMPRODUCT((N185:P185&gt;0)*(N185:P185))/3, 0)</f>
        <v>0</v>
      </c>
      <c r="R185" s="10"/>
      <c r="S185" s="11" t="str">
        <f t="shared" si="37"/>
        <v/>
      </c>
      <c r="T185" s="7"/>
      <c r="U185" s="7"/>
      <c r="V185" s="7"/>
      <c r="W185" s="7"/>
      <c r="X185" s="7"/>
      <c r="Y185" s="7"/>
      <c r="Z185" s="15"/>
      <c r="AA185" s="15"/>
      <c r="AB185" s="11" t="str">
        <f t="shared" si="38"/>
        <v/>
      </c>
      <c r="AC185" s="11"/>
      <c r="AD185" s="11"/>
      <c r="AE185" s="11"/>
      <c r="AF185" s="11"/>
      <c r="AG185" s="11"/>
      <c r="AH185" s="11"/>
      <c r="AI185" s="11"/>
      <c r="AJ185" s="15"/>
      <c r="AK185" s="15"/>
      <c r="AL185" s="14">
        <f t="shared" si="39"/>
        <v>3</v>
      </c>
      <c r="AM185" s="11">
        <f t="shared" si="40"/>
        <v>3</v>
      </c>
      <c r="AN185" s="14">
        <f t="shared" si="41"/>
        <v>3</v>
      </c>
      <c r="AO185" s="15"/>
      <c r="AP185" s="15"/>
      <c r="AQ185" s="15"/>
    </row>
    <row r="186" spans="1:43" ht="34" hidden="1" x14ac:dyDescent="0.2">
      <c r="A186" s="7">
        <v>185</v>
      </c>
      <c r="B186" s="19" t="s">
        <v>429</v>
      </c>
      <c r="C186" s="19" t="s">
        <v>430</v>
      </c>
      <c r="D186" s="8" t="s">
        <v>34</v>
      </c>
      <c r="E186" s="19" t="s">
        <v>269</v>
      </c>
      <c r="F186" s="8" t="s">
        <v>36</v>
      </c>
      <c r="G186" s="7" t="s">
        <v>59</v>
      </c>
      <c r="H186" s="9" t="s">
        <v>44</v>
      </c>
      <c r="I186" s="10"/>
      <c r="J186" s="10" t="s">
        <v>40</v>
      </c>
      <c r="K186" s="10" t="s">
        <v>40</v>
      </c>
      <c r="L186" s="10" t="s">
        <v>40</v>
      </c>
      <c r="M186">
        <v>0</v>
      </c>
      <c r="N186">
        <v>0</v>
      </c>
      <c r="O186">
        <v>0</v>
      </c>
      <c r="P186" s="10" t="s">
        <v>44</v>
      </c>
      <c r="Q186" s="10">
        <f t="array" ref="Q186">IFERROR(SUMPRODUCT((N186:P186&gt;0)*(N186:P186))/3, 0)</f>
        <v>0</v>
      </c>
      <c r="R186" s="10"/>
      <c r="S186" s="11" t="str">
        <f t="shared" si="37"/>
        <v/>
      </c>
      <c r="T186" s="7"/>
      <c r="U186" s="7"/>
      <c r="V186" s="7"/>
      <c r="W186" s="7"/>
      <c r="X186" s="7"/>
      <c r="Y186" s="7"/>
      <c r="Z186" s="15"/>
      <c r="AA186" s="15"/>
      <c r="AB186" s="11" t="str">
        <f t="shared" si="38"/>
        <v/>
      </c>
      <c r="AC186" s="11"/>
      <c r="AD186" s="11"/>
      <c r="AE186" s="11"/>
      <c r="AF186" s="11"/>
      <c r="AG186" s="11"/>
      <c r="AH186" s="11"/>
      <c r="AI186" s="11"/>
      <c r="AJ186" s="15"/>
      <c r="AK186" s="15"/>
      <c r="AL186" s="14">
        <f t="shared" si="39"/>
        <v>3</v>
      </c>
      <c r="AM186" s="11">
        <f t="shared" si="40"/>
        <v>3</v>
      </c>
      <c r="AN186" s="14">
        <f t="shared" si="41"/>
        <v>3</v>
      </c>
      <c r="AO186" s="15"/>
      <c r="AP186" s="15"/>
      <c r="AQ186" s="15"/>
    </row>
    <row r="187" spans="1:43" ht="34" hidden="1" x14ac:dyDescent="0.2">
      <c r="A187" s="7">
        <v>186</v>
      </c>
      <c r="B187" s="19" t="s">
        <v>431</v>
      </c>
      <c r="C187" s="19" t="s">
        <v>432</v>
      </c>
      <c r="D187" s="8" t="s">
        <v>34</v>
      </c>
      <c r="E187" s="19" t="s">
        <v>269</v>
      </c>
      <c r="F187" s="8" t="s">
        <v>36</v>
      </c>
      <c r="G187" s="7" t="s">
        <v>59</v>
      </c>
      <c r="H187" s="9" t="s">
        <v>44</v>
      </c>
      <c r="I187" s="10"/>
      <c r="J187" s="10" t="s">
        <v>40</v>
      </c>
      <c r="K187" s="10" t="s">
        <v>40</v>
      </c>
      <c r="L187" s="10" t="s">
        <v>40</v>
      </c>
      <c r="M187">
        <v>0</v>
      </c>
      <c r="N187">
        <v>0</v>
      </c>
      <c r="O187">
        <v>0</v>
      </c>
      <c r="P187" s="10" t="s">
        <v>44</v>
      </c>
      <c r="Q187" s="10">
        <f t="array" ref="Q187">IFERROR(SUMPRODUCT((N187:P187&gt;0)*(N187:P187))/3, 0)</f>
        <v>0</v>
      </c>
      <c r="R187" s="10"/>
      <c r="S187" s="11" t="str">
        <f t="shared" si="37"/>
        <v/>
      </c>
      <c r="T187" s="7"/>
      <c r="U187" s="7"/>
      <c r="V187" s="7"/>
      <c r="W187" s="7"/>
      <c r="X187" s="7"/>
      <c r="Y187" s="7"/>
      <c r="Z187" s="15"/>
      <c r="AA187" s="15"/>
      <c r="AB187" s="11" t="str">
        <f t="shared" si="38"/>
        <v/>
      </c>
      <c r="AC187" s="11"/>
      <c r="AD187" s="11"/>
      <c r="AE187" s="11"/>
      <c r="AF187" s="11"/>
      <c r="AG187" s="11"/>
      <c r="AH187" s="11"/>
      <c r="AI187" s="11"/>
      <c r="AJ187" s="15"/>
      <c r="AK187" s="15"/>
      <c r="AL187" s="14">
        <f t="shared" si="39"/>
        <v>3</v>
      </c>
      <c r="AM187" s="11">
        <f t="shared" si="40"/>
        <v>3</v>
      </c>
      <c r="AN187" s="14">
        <f t="shared" si="41"/>
        <v>3</v>
      </c>
      <c r="AO187" s="15"/>
      <c r="AP187" s="15"/>
      <c r="AQ187" s="15"/>
    </row>
    <row r="188" spans="1:43" ht="34" hidden="1" x14ac:dyDescent="0.2">
      <c r="A188" s="7">
        <v>187</v>
      </c>
      <c r="B188" s="19" t="s">
        <v>433</v>
      </c>
      <c r="C188" s="19" t="s">
        <v>434</v>
      </c>
      <c r="D188" s="8" t="s">
        <v>34</v>
      </c>
      <c r="E188" s="19" t="s">
        <v>269</v>
      </c>
      <c r="F188" s="8" t="s">
        <v>36</v>
      </c>
      <c r="G188" s="7" t="s">
        <v>59</v>
      </c>
      <c r="H188" s="9" t="s">
        <v>44</v>
      </c>
      <c r="I188" s="10"/>
      <c r="J188" s="10" t="s">
        <v>40</v>
      </c>
      <c r="K188" s="10" t="s">
        <v>40</v>
      </c>
      <c r="L188" s="10" t="s">
        <v>40</v>
      </c>
      <c r="M188">
        <v>0</v>
      </c>
      <c r="N188">
        <v>0</v>
      </c>
      <c r="O188">
        <v>0</v>
      </c>
      <c r="P188" s="10" t="s">
        <v>44</v>
      </c>
      <c r="Q188" s="10">
        <f t="array" ref="Q188">IFERROR(SUMPRODUCT((N188:P188&gt;0)*(N188:P188))/3, 0)</f>
        <v>0</v>
      </c>
      <c r="R188" s="10"/>
      <c r="S188" s="11" t="str">
        <f t="shared" si="37"/>
        <v/>
      </c>
      <c r="T188" s="7"/>
      <c r="U188" s="7"/>
      <c r="V188" s="7"/>
      <c r="W188" s="7"/>
      <c r="X188" s="7"/>
      <c r="Y188" s="7"/>
      <c r="Z188" s="15"/>
      <c r="AA188" s="15"/>
      <c r="AB188" s="11" t="str">
        <f t="shared" si="38"/>
        <v/>
      </c>
      <c r="AC188" s="11"/>
      <c r="AD188" s="11"/>
      <c r="AE188" s="11"/>
      <c r="AF188" s="11"/>
      <c r="AG188" s="11"/>
      <c r="AH188" s="11"/>
      <c r="AI188" s="11"/>
      <c r="AJ188" s="15"/>
      <c r="AK188" s="15"/>
      <c r="AL188" s="14">
        <f t="shared" si="39"/>
        <v>3</v>
      </c>
      <c r="AM188" s="11">
        <f t="shared" si="40"/>
        <v>3</v>
      </c>
      <c r="AN188" s="14">
        <f t="shared" si="41"/>
        <v>3</v>
      </c>
      <c r="AO188" s="15"/>
      <c r="AP188" s="15"/>
      <c r="AQ188" s="15"/>
    </row>
    <row r="189" spans="1:43" ht="34" hidden="1" x14ac:dyDescent="0.2">
      <c r="A189" s="7">
        <v>188</v>
      </c>
      <c r="B189" s="19" t="s">
        <v>435</v>
      </c>
      <c r="C189" s="19" t="s">
        <v>436</v>
      </c>
      <c r="D189" s="8" t="s">
        <v>34</v>
      </c>
      <c r="E189" s="19" t="s">
        <v>269</v>
      </c>
      <c r="F189" s="8" t="s">
        <v>36</v>
      </c>
      <c r="G189" s="7" t="s">
        <v>59</v>
      </c>
      <c r="H189" s="9" t="s">
        <v>44</v>
      </c>
      <c r="I189" s="10"/>
      <c r="J189" s="10" t="s">
        <v>40</v>
      </c>
      <c r="K189" s="10" t="s">
        <v>40</v>
      </c>
      <c r="L189" s="10" t="s">
        <v>40</v>
      </c>
      <c r="M189">
        <v>0</v>
      </c>
      <c r="N189">
        <v>0</v>
      </c>
      <c r="O189">
        <v>0</v>
      </c>
      <c r="P189" s="10" t="s">
        <v>44</v>
      </c>
      <c r="Q189" s="10">
        <f t="array" ref="Q189">IFERROR(SUMPRODUCT((N189:P189&gt;0)*(N189:P189))/3, 0)</f>
        <v>0</v>
      </c>
      <c r="R189" s="10"/>
      <c r="S189" s="11" t="str">
        <f t="shared" si="37"/>
        <v/>
      </c>
      <c r="T189" s="7"/>
      <c r="U189" s="7"/>
      <c r="V189" s="7"/>
      <c r="W189" s="7"/>
      <c r="X189" s="7"/>
      <c r="Y189" s="7"/>
      <c r="Z189" s="15"/>
      <c r="AA189" s="15"/>
      <c r="AB189" s="11" t="str">
        <f t="shared" si="38"/>
        <v/>
      </c>
      <c r="AC189" s="11"/>
      <c r="AD189" s="11"/>
      <c r="AE189" s="11"/>
      <c r="AF189" s="11"/>
      <c r="AG189" s="11"/>
      <c r="AH189" s="11"/>
      <c r="AI189" s="11"/>
      <c r="AJ189" s="15"/>
      <c r="AK189" s="15"/>
      <c r="AL189" s="14">
        <f t="shared" si="39"/>
        <v>3</v>
      </c>
      <c r="AM189" s="11">
        <f t="shared" si="40"/>
        <v>3</v>
      </c>
      <c r="AN189" s="14">
        <f t="shared" si="41"/>
        <v>3</v>
      </c>
      <c r="AO189" s="15"/>
      <c r="AP189" s="15"/>
      <c r="AQ189" s="15"/>
    </row>
    <row r="190" spans="1:43" ht="34" hidden="1" x14ac:dyDescent="0.2">
      <c r="A190" s="7">
        <v>189</v>
      </c>
      <c r="B190" s="19" t="s">
        <v>437</v>
      </c>
      <c r="C190" s="19" t="s">
        <v>438</v>
      </c>
      <c r="D190" s="8" t="s">
        <v>34</v>
      </c>
      <c r="E190" s="19" t="s">
        <v>269</v>
      </c>
      <c r="F190" s="8" t="s">
        <v>36</v>
      </c>
      <c r="G190" s="7" t="s">
        <v>59</v>
      </c>
      <c r="H190" s="9" t="s">
        <v>44</v>
      </c>
      <c r="I190" s="10"/>
      <c r="J190" s="10" t="s">
        <v>40</v>
      </c>
      <c r="K190" s="10" t="s">
        <v>40</v>
      </c>
      <c r="L190" s="10" t="s">
        <v>40</v>
      </c>
      <c r="M190">
        <v>0</v>
      </c>
      <c r="N190">
        <v>0</v>
      </c>
      <c r="O190">
        <v>0</v>
      </c>
      <c r="P190" s="10" t="s">
        <v>44</v>
      </c>
      <c r="Q190" s="10">
        <f t="array" ref="Q190">IFERROR(SUMPRODUCT((N190:P190&gt;0)*(N190:P190))/3, 0)</f>
        <v>0</v>
      </c>
      <c r="R190" s="10"/>
      <c r="S190" s="11" t="str">
        <f t="shared" si="37"/>
        <v/>
      </c>
      <c r="T190" s="7"/>
      <c r="U190" s="7"/>
      <c r="V190" s="7"/>
      <c r="W190" s="7"/>
      <c r="X190" s="7"/>
      <c r="Y190" s="7"/>
      <c r="Z190" s="15"/>
      <c r="AA190" s="15"/>
      <c r="AB190" s="11" t="str">
        <f t="shared" si="38"/>
        <v/>
      </c>
      <c r="AC190" s="11"/>
      <c r="AD190" s="11"/>
      <c r="AE190" s="11"/>
      <c r="AF190" s="11"/>
      <c r="AG190" s="11"/>
      <c r="AH190" s="11"/>
      <c r="AI190" s="11"/>
      <c r="AJ190" s="15"/>
      <c r="AK190" s="15"/>
      <c r="AL190" s="14">
        <f t="shared" si="39"/>
        <v>3</v>
      </c>
      <c r="AM190" s="11">
        <f t="shared" si="40"/>
        <v>3</v>
      </c>
      <c r="AN190" s="14">
        <f t="shared" si="41"/>
        <v>3</v>
      </c>
      <c r="AO190" s="15"/>
      <c r="AP190" s="15"/>
      <c r="AQ190" s="15"/>
    </row>
    <row r="191" spans="1:43" ht="68" hidden="1" x14ac:dyDescent="0.2">
      <c r="A191" s="7">
        <v>190</v>
      </c>
      <c r="B191" s="19" t="s">
        <v>439</v>
      </c>
      <c r="C191" s="19" t="s">
        <v>440</v>
      </c>
      <c r="D191" s="8" t="s">
        <v>34</v>
      </c>
      <c r="E191" s="19" t="s">
        <v>269</v>
      </c>
      <c r="F191" s="8" t="s">
        <v>36</v>
      </c>
      <c r="G191" s="7" t="s">
        <v>59</v>
      </c>
      <c r="H191" s="9" t="s">
        <v>44</v>
      </c>
      <c r="I191" s="10"/>
      <c r="J191" s="10" t="s">
        <v>40</v>
      </c>
      <c r="K191" s="10" t="s">
        <v>40</v>
      </c>
      <c r="L191" s="10" t="s">
        <v>40</v>
      </c>
      <c r="M191">
        <v>0</v>
      </c>
      <c r="N191">
        <v>0</v>
      </c>
      <c r="O191">
        <v>0</v>
      </c>
      <c r="P191" s="10" t="s">
        <v>44</v>
      </c>
      <c r="Q191" s="10">
        <f t="array" ref="Q191">IFERROR(SUMPRODUCT((N191:P191&gt;0)*(N191:P191))/3, 0)</f>
        <v>0</v>
      </c>
      <c r="R191" s="10"/>
      <c r="S191" s="11" t="str">
        <f t="shared" si="37"/>
        <v/>
      </c>
      <c r="T191" s="7"/>
      <c r="U191" s="7"/>
      <c r="V191" s="7"/>
      <c r="W191" s="7"/>
      <c r="X191" s="7"/>
      <c r="Y191" s="7"/>
      <c r="Z191" s="15"/>
      <c r="AA191" s="15"/>
      <c r="AB191" s="11" t="str">
        <f t="shared" si="38"/>
        <v/>
      </c>
      <c r="AC191" s="11"/>
      <c r="AD191" s="11"/>
      <c r="AE191" s="11"/>
      <c r="AF191" s="11"/>
      <c r="AG191" s="11"/>
      <c r="AH191" s="11"/>
      <c r="AI191" s="11"/>
      <c r="AJ191" s="15"/>
      <c r="AK191" s="15"/>
      <c r="AL191" s="14">
        <f t="shared" si="39"/>
        <v>3</v>
      </c>
      <c r="AM191" s="11">
        <f t="shared" si="40"/>
        <v>3</v>
      </c>
      <c r="AN191" s="14">
        <f t="shared" si="41"/>
        <v>3</v>
      </c>
      <c r="AO191" s="15"/>
      <c r="AP191" s="15"/>
      <c r="AQ191" s="15"/>
    </row>
    <row r="192" spans="1:43" ht="68" hidden="1" x14ac:dyDescent="0.2">
      <c r="A192" s="7">
        <v>191</v>
      </c>
      <c r="B192" s="19" t="s">
        <v>441</v>
      </c>
      <c r="C192" s="19" t="s">
        <v>442</v>
      </c>
      <c r="D192" s="8" t="s">
        <v>34</v>
      </c>
      <c r="E192" s="19" t="s">
        <v>269</v>
      </c>
      <c r="F192" s="8" t="s">
        <v>36</v>
      </c>
      <c r="G192" s="7" t="s">
        <v>59</v>
      </c>
      <c r="H192" s="9" t="s">
        <v>44</v>
      </c>
      <c r="I192" s="10"/>
      <c r="J192" s="10" t="s">
        <v>40</v>
      </c>
      <c r="K192" s="10" t="s">
        <v>40</v>
      </c>
      <c r="L192" s="10" t="s">
        <v>40</v>
      </c>
      <c r="M192">
        <v>0</v>
      </c>
      <c r="N192">
        <v>0</v>
      </c>
      <c r="O192">
        <v>0</v>
      </c>
      <c r="P192" s="10" t="s">
        <v>44</v>
      </c>
      <c r="Q192" s="10">
        <f t="array" ref="Q192">IFERROR(SUMPRODUCT((N192:P192&gt;0)*(N192:P192))/3, 0)</f>
        <v>0</v>
      </c>
      <c r="R192" s="10"/>
      <c r="S192" s="11" t="str">
        <f t="shared" si="37"/>
        <v/>
      </c>
      <c r="T192" s="7"/>
      <c r="U192" s="7"/>
      <c r="V192" s="7"/>
      <c r="W192" s="7"/>
      <c r="X192" s="7"/>
      <c r="Y192" s="7"/>
      <c r="Z192" s="15"/>
      <c r="AA192" s="15"/>
      <c r="AB192" s="11" t="str">
        <f t="shared" si="38"/>
        <v/>
      </c>
      <c r="AC192" s="11"/>
      <c r="AD192" s="11"/>
      <c r="AE192" s="11"/>
      <c r="AF192" s="11"/>
      <c r="AG192" s="11"/>
      <c r="AH192" s="11"/>
      <c r="AI192" s="11"/>
      <c r="AJ192" s="15"/>
      <c r="AK192" s="15"/>
      <c r="AL192" s="14">
        <f t="shared" si="39"/>
        <v>3</v>
      </c>
      <c r="AM192" s="11">
        <f t="shared" si="40"/>
        <v>3</v>
      </c>
      <c r="AN192" s="14">
        <f t="shared" si="41"/>
        <v>3</v>
      </c>
      <c r="AO192" s="15"/>
      <c r="AP192" s="15"/>
      <c r="AQ192" s="15"/>
    </row>
    <row r="193" spans="1:43" ht="34" hidden="1" x14ac:dyDescent="0.2">
      <c r="A193" s="7">
        <v>192</v>
      </c>
      <c r="B193" s="19" t="s">
        <v>443</v>
      </c>
      <c r="C193" s="19" t="s">
        <v>444</v>
      </c>
      <c r="D193" s="8" t="s">
        <v>34</v>
      </c>
      <c r="E193" s="19" t="s">
        <v>269</v>
      </c>
      <c r="F193" s="8" t="s">
        <v>36</v>
      </c>
      <c r="G193" s="7" t="s">
        <v>59</v>
      </c>
      <c r="H193" s="9" t="s">
        <v>44</v>
      </c>
      <c r="I193" s="10"/>
      <c r="J193" s="10" t="s">
        <v>40</v>
      </c>
      <c r="K193" s="10" t="s">
        <v>40</v>
      </c>
      <c r="L193" s="10" t="s">
        <v>40</v>
      </c>
      <c r="M193">
        <v>0</v>
      </c>
      <c r="N193">
        <v>0</v>
      </c>
      <c r="O193">
        <v>0</v>
      </c>
      <c r="P193" s="10" t="s">
        <v>44</v>
      </c>
      <c r="Q193" s="10">
        <f t="array" ref="Q193">IFERROR(SUMPRODUCT((N193:P193&gt;0)*(N193:P193))/3, 0)</f>
        <v>0</v>
      </c>
      <c r="R193" s="10"/>
      <c r="S193" s="11" t="str">
        <f t="shared" si="37"/>
        <v/>
      </c>
      <c r="T193" s="7"/>
      <c r="U193" s="7"/>
      <c r="V193" s="7"/>
      <c r="W193" s="7"/>
      <c r="X193" s="7"/>
      <c r="Y193" s="7"/>
      <c r="Z193" s="15"/>
      <c r="AA193" s="15"/>
      <c r="AB193" s="11" t="str">
        <f t="shared" si="38"/>
        <v/>
      </c>
      <c r="AC193" s="11"/>
      <c r="AD193" s="11"/>
      <c r="AE193" s="11"/>
      <c r="AF193" s="11"/>
      <c r="AG193" s="11"/>
      <c r="AH193" s="11"/>
      <c r="AI193" s="11"/>
      <c r="AJ193" s="15"/>
      <c r="AK193" s="15"/>
      <c r="AL193" s="14">
        <f t="shared" si="39"/>
        <v>3</v>
      </c>
      <c r="AM193" s="11">
        <f t="shared" si="40"/>
        <v>3</v>
      </c>
      <c r="AN193" s="14">
        <f t="shared" si="41"/>
        <v>3</v>
      </c>
      <c r="AO193" s="15"/>
      <c r="AP193" s="15"/>
      <c r="AQ193" s="15"/>
    </row>
    <row r="194" spans="1:43" ht="34" hidden="1" x14ac:dyDescent="0.2">
      <c r="A194" s="7">
        <v>193</v>
      </c>
      <c r="B194" s="19" t="s">
        <v>445</v>
      </c>
      <c r="C194" s="19" t="s">
        <v>446</v>
      </c>
      <c r="D194" s="8" t="s">
        <v>34</v>
      </c>
      <c r="E194" s="19" t="s">
        <v>269</v>
      </c>
      <c r="F194" s="8" t="s">
        <v>36</v>
      </c>
      <c r="G194" s="7" t="s">
        <v>59</v>
      </c>
      <c r="H194" s="9" t="s">
        <v>44</v>
      </c>
      <c r="I194" s="10"/>
      <c r="J194" s="10" t="s">
        <v>40</v>
      </c>
      <c r="K194" s="10" t="s">
        <v>40</v>
      </c>
      <c r="L194" s="10" t="s">
        <v>40</v>
      </c>
      <c r="M194">
        <v>0</v>
      </c>
      <c r="N194">
        <v>0</v>
      </c>
      <c r="O194">
        <v>0</v>
      </c>
      <c r="P194" s="10" t="s">
        <v>44</v>
      </c>
      <c r="Q194" s="10">
        <f t="array" ref="Q194">IFERROR(SUMPRODUCT((N194:P194&gt;0)*(N194:P194))/3, 0)</f>
        <v>0</v>
      </c>
      <c r="R194" s="10"/>
      <c r="S194" s="11" t="str">
        <f t="shared" si="37"/>
        <v/>
      </c>
      <c r="T194" s="7"/>
      <c r="U194" s="7"/>
      <c r="V194" s="7"/>
      <c r="W194" s="7"/>
      <c r="X194" s="7"/>
      <c r="Y194" s="7"/>
      <c r="Z194" s="15"/>
      <c r="AA194" s="15"/>
      <c r="AB194" s="11" t="str">
        <f t="shared" si="38"/>
        <v/>
      </c>
      <c r="AC194" s="11"/>
      <c r="AD194" s="11"/>
      <c r="AE194" s="11"/>
      <c r="AF194" s="11"/>
      <c r="AG194" s="11"/>
      <c r="AH194" s="11"/>
      <c r="AI194" s="11"/>
      <c r="AJ194" s="15"/>
      <c r="AK194" s="15"/>
      <c r="AL194" s="14">
        <f t="shared" si="39"/>
        <v>3</v>
      </c>
      <c r="AM194" s="11">
        <f t="shared" si="40"/>
        <v>3</v>
      </c>
      <c r="AN194" s="14">
        <f t="shared" si="41"/>
        <v>3</v>
      </c>
      <c r="AO194" s="15"/>
      <c r="AP194" s="15"/>
      <c r="AQ194" s="15"/>
    </row>
    <row r="195" spans="1:43" ht="34" hidden="1" x14ac:dyDescent="0.2">
      <c r="A195" s="7">
        <v>194</v>
      </c>
      <c r="B195" s="19" t="s">
        <v>447</v>
      </c>
      <c r="C195" s="19" t="s">
        <v>448</v>
      </c>
      <c r="D195" s="8" t="s">
        <v>34</v>
      </c>
      <c r="E195" s="19" t="s">
        <v>269</v>
      </c>
      <c r="F195" s="8" t="s">
        <v>36</v>
      </c>
      <c r="G195" s="7" t="s">
        <v>59</v>
      </c>
      <c r="H195" s="9" t="s">
        <v>44</v>
      </c>
      <c r="I195" s="10"/>
      <c r="J195" s="10" t="s">
        <v>40</v>
      </c>
      <c r="K195" s="10" t="s">
        <v>40</v>
      </c>
      <c r="L195" s="10" t="s">
        <v>40</v>
      </c>
      <c r="M195">
        <v>0</v>
      </c>
      <c r="N195">
        <v>0</v>
      </c>
      <c r="O195">
        <v>0</v>
      </c>
      <c r="P195" s="10" t="s">
        <v>44</v>
      </c>
      <c r="Q195" s="10">
        <f t="array" ref="Q195">IFERROR(SUMPRODUCT((N195:P195&gt;0)*(N195:P195))/3, 0)</f>
        <v>0</v>
      </c>
      <c r="R195" s="10"/>
      <c r="S195" s="11" t="str">
        <f t="shared" ref="S195:S258" si="42">IF(Q195&gt;0,LOG10(Q195+1),"")</f>
        <v/>
      </c>
      <c r="T195" s="7"/>
      <c r="U195" s="7"/>
      <c r="V195" s="7"/>
      <c r="W195" s="7"/>
      <c r="X195" s="7"/>
      <c r="Y195" s="7"/>
      <c r="Z195" s="15"/>
      <c r="AA195" s="15"/>
      <c r="AB195" s="11" t="str">
        <f t="shared" ref="AB195:AB258" si="43">IF(AA195&gt;0,LOG10(AA195+1),"")</f>
        <v/>
      </c>
      <c r="AC195" s="11"/>
      <c r="AD195" s="11"/>
      <c r="AE195" s="11"/>
      <c r="AF195" s="11"/>
      <c r="AG195" s="11"/>
      <c r="AH195" s="11"/>
      <c r="AI195" s="11"/>
      <c r="AJ195" s="15"/>
      <c r="AK195" s="15"/>
      <c r="AL195" s="14">
        <f t="shared" ref="AL195:AL258" si="44">IF(W195&gt;=5,9,IF(W195 &gt;=3,7,IF(W195=0,3,5)))</f>
        <v>3</v>
      </c>
      <c r="AM195" s="11">
        <f t="shared" ref="AM195:AM258" si="45">IF(I195&lt;4,3,IF(I195&lt;6,5,IF(I195&lt;11,7,9)))</f>
        <v>3</v>
      </c>
      <c r="AN195" s="14">
        <f t="shared" ref="AN195:AN258" si="46">IF(AB195=0,"3",
 IF(AB195="",3,
 IF(AB195&lt;=_xlfn.PERCENTILE.INC($AB$2:$AB$105,0.25),3,
 IF(AB195&lt;=_xlfn.PERCENTILE.INC($AB$2:$AB$105,0.5),5,
 IF(AB195&lt;=_xlfn.PERCENTILE.INC($AB$2:$AB$105,0.75),7,
 9)))))</f>
        <v>3</v>
      </c>
      <c r="AO195" s="15"/>
      <c r="AP195" s="15"/>
      <c r="AQ195" s="15"/>
    </row>
    <row r="196" spans="1:43" ht="51" hidden="1" x14ac:dyDescent="0.2">
      <c r="A196" s="7">
        <v>195</v>
      </c>
      <c r="B196" s="19" t="s">
        <v>449</v>
      </c>
      <c r="C196" s="19" t="s">
        <v>450</v>
      </c>
      <c r="D196" s="8" t="s">
        <v>34</v>
      </c>
      <c r="E196" s="19" t="s">
        <v>269</v>
      </c>
      <c r="F196" s="8" t="s">
        <v>36</v>
      </c>
      <c r="G196" s="7" t="s">
        <v>59</v>
      </c>
      <c r="H196" s="9" t="s">
        <v>44</v>
      </c>
      <c r="I196" s="10"/>
      <c r="J196" s="10" t="s">
        <v>40</v>
      </c>
      <c r="K196" s="10" t="s">
        <v>40</v>
      </c>
      <c r="L196" s="10" t="s">
        <v>40</v>
      </c>
      <c r="M196">
        <v>0</v>
      </c>
      <c r="N196">
        <v>0</v>
      </c>
      <c r="O196">
        <v>0</v>
      </c>
      <c r="P196" s="10" t="s">
        <v>44</v>
      </c>
      <c r="Q196" s="10">
        <f t="array" ref="Q196">IFERROR(SUMPRODUCT((N196:P196&gt;0)*(N196:P196))/3, 0)</f>
        <v>0</v>
      </c>
      <c r="R196" s="10"/>
      <c r="S196" s="11" t="str">
        <f t="shared" si="42"/>
        <v/>
      </c>
      <c r="T196" s="7"/>
      <c r="U196" s="7"/>
      <c r="V196" s="7"/>
      <c r="W196" s="7"/>
      <c r="X196" s="7"/>
      <c r="Y196" s="7"/>
      <c r="Z196" s="15"/>
      <c r="AA196" s="15"/>
      <c r="AB196" s="11" t="str">
        <f t="shared" si="43"/>
        <v/>
      </c>
      <c r="AC196" s="11"/>
      <c r="AD196" s="11"/>
      <c r="AE196" s="11"/>
      <c r="AF196" s="11"/>
      <c r="AG196" s="11"/>
      <c r="AH196" s="11"/>
      <c r="AI196" s="11"/>
      <c r="AJ196" s="15"/>
      <c r="AK196" s="15"/>
      <c r="AL196" s="14">
        <f t="shared" si="44"/>
        <v>3</v>
      </c>
      <c r="AM196" s="11">
        <f t="shared" si="45"/>
        <v>3</v>
      </c>
      <c r="AN196" s="14">
        <f t="shared" si="46"/>
        <v>3</v>
      </c>
      <c r="AO196" s="15"/>
      <c r="AP196" s="15"/>
      <c r="AQ196" s="15"/>
    </row>
    <row r="197" spans="1:43" ht="51" hidden="1" x14ac:dyDescent="0.2">
      <c r="A197" s="7">
        <v>196</v>
      </c>
      <c r="B197" s="19" t="s">
        <v>451</v>
      </c>
      <c r="C197" s="19" t="s">
        <v>452</v>
      </c>
      <c r="D197" s="8" t="s">
        <v>34</v>
      </c>
      <c r="E197" s="19" t="s">
        <v>269</v>
      </c>
      <c r="F197" s="8" t="s">
        <v>36</v>
      </c>
      <c r="G197" s="7" t="s">
        <v>59</v>
      </c>
      <c r="H197" s="9" t="s">
        <v>44</v>
      </c>
      <c r="I197" s="10"/>
      <c r="J197" s="10" t="s">
        <v>40</v>
      </c>
      <c r="K197" s="10" t="s">
        <v>40</v>
      </c>
      <c r="L197" s="10" t="s">
        <v>40</v>
      </c>
      <c r="M197">
        <v>0</v>
      </c>
      <c r="N197">
        <v>0</v>
      </c>
      <c r="O197">
        <v>0</v>
      </c>
      <c r="P197" s="10" t="s">
        <v>44</v>
      </c>
      <c r="Q197" s="10">
        <f t="array" ref="Q197">IFERROR(SUMPRODUCT((N197:P197&gt;0)*(N197:P197))/3, 0)</f>
        <v>0</v>
      </c>
      <c r="R197" s="10"/>
      <c r="S197" s="11" t="str">
        <f t="shared" si="42"/>
        <v/>
      </c>
      <c r="T197" s="7"/>
      <c r="U197" s="7"/>
      <c r="V197" s="7"/>
      <c r="W197" s="7"/>
      <c r="X197" s="7"/>
      <c r="Y197" s="7"/>
      <c r="Z197" s="15"/>
      <c r="AA197" s="15"/>
      <c r="AB197" s="11" t="str">
        <f t="shared" si="43"/>
        <v/>
      </c>
      <c r="AC197" s="11"/>
      <c r="AD197" s="11"/>
      <c r="AE197" s="11"/>
      <c r="AF197" s="11"/>
      <c r="AG197" s="11"/>
      <c r="AH197" s="11"/>
      <c r="AI197" s="11"/>
      <c r="AJ197" s="15"/>
      <c r="AK197" s="15"/>
      <c r="AL197" s="14">
        <f t="shared" si="44"/>
        <v>3</v>
      </c>
      <c r="AM197" s="11">
        <f t="shared" si="45"/>
        <v>3</v>
      </c>
      <c r="AN197" s="14">
        <f t="shared" si="46"/>
        <v>3</v>
      </c>
      <c r="AO197" s="15"/>
      <c r="AP197" s="15"/>
      <c r="AQ197" s="15"/>
    </row>
    <row r="198" spans="1:43" ht="51" hidden="1" x14ac:dyDescent="0.2">
      <c r="A198" s="7">
        <v>197</v>
      </c>
      <c r="B198" s="19" t="s">
        <v>453</v>
      </c>
      <c r="C198" s="19" t="s">
        <v>454</v>
      </c>
      <c r="D198" s="8" t="s">
        <v>34</v>
      </c>
      <c r="E198" s="19" t="s">
        <v>269</v>
      </c>
      <c r="F198" s="8" t="s">
        <v>36</v>
      </c>
      <c r="G198" s="7" t="s">
        <v>59</v>
      </c>
      <c r="H198" s="9" t="s">
        <v>44</v>
      </c>
      <c r="I198" s="10"/>
      <c r="J198" s="10" t="s">
        <v>40</v>
      </c>
      <c r="K198" s="10" t="s">
        <v>40</v>
      </c>
      <c r="L198" s="10" t="s">
        <v>40</v>
      </c>
      <c r="M198">
        <v>0</v>
      </c>
      <c r="N198">
        <v>0</v>
      </c>
      <c r="O198">
        <v>0</v>
      </c>
      <c r="P198" s="10" t="s">
        <v>44</v>
      </c>
      <c r="Q198" s="10">
        <f t="array" ref="Q198">IFERROR(SUMPRODUCT((N198:P198&gt;0)*(N198:P198))/3, 0)</f>
        <v>0</v>
      </c>
      <c r="R198" s="10"/>
      <c r="S198" s="11" t="str">
        <f t="shared" si="42"/>
        <v/>
      </c>
      <c r="T198" s="7"/>
      <c r="U198" s="7"/>
      <c r="V198" s="7"/>
      <c r="W198" s="7"/>
      <c r="X198" s="7"/>
      <c r="Y198" s="7"/>
      <c r="Z198" s="15"/>
      <c r="AA198" s="15"/>
      <c r="AB198" s="11" t="str">
        <f t="shared" si="43"/>
        <v/>
      </c>
      <c r="AC198" s="11"/>
      <c r="AD198" s="11"/>
      <c r="AE198" s="11"/>
      <c r="AF198" s="11"/>
      <c r="AG198" s="11"/>
      <c r="AH198" s="11"/>
      <c r="AI198" s="11"/>
      <c r="AJ198" s="15"/>
      <c r="AK198" s="15"/>
      <c r="AL198" s="14">
        <f t="shared" si="44"/>
        <v>3</v>
      </c>
      <c r="AM198" s="11">
        <f t="shared" si="45"/>
        <v>3</v>
      </c>
      <c r="AN198" s="14">
        <f t="shared" si="46"/>
        <v>3</v>
      </c>
      <c r="AO198" s="15"/>
      <c r="AP198" s="15"/>
      <c r="AQ198" s="15"/>
    </row>
    <row r="199" spans="1:43" ht="34" hidden="1" x14ac:dyDescent="0.2">
      <c r="A199" s="7">
        <v>198</v>
      </c>
      <c r="B199" s="19" t="s">
        <v>455</v>
      </c>
      <c r="C199" s="19" t="s">
        <v>456</v>
      </c>
      <c r="D199" s="8" t="s">
        <v>34</v>
      </c>
      <c r="E199" s="19" t="s">
        <v>269</v>
      </c>
      <c r="F199" s="8" t="s">
        <v>36</v>
      </c>
      <c r="G199" s="7" t="s">
        <v>59</v>
      </c>
      <c r="H199" s="9" t="s">
        <v>44</v>
      </c>
      <c r="I199" s="10"/>
      <c r="J199" s="10" t="s">
        <v>40</v>
      </c>
      <c r="K199" s="10" t="s">
        <v>40</v>
      </c>
      <c r="L199" s="10" t="s">
        <v>40</v>
      </c>
      <c r="M199">
        <v>0</v>
      </c>
      <c r="N199">
        <v>0</v>
      </c>
      <c r="O199">
        <v>0</v>
      </c>
      <c r="P199" s="10" t="s">
        <v>44</v>
      </c>
      <c r="Q199" s="10">
        <f t="array" ref="Q199">IFERROR(SUMPRODUCT((N199:P199&gt;0)*(N199:P199))/3, 0)</f>
        <v>0</v>
      </c>
      <c r="R199" s="10"/>
      <c r="S199" s="11" t="str">
        <f t="shared" si="42"/>
        <v/>
      </c>
      <c r="T199" s="7"/>
      <c r="U199" s="7"/>
      <c r="V199" s="7"/>
      <c r="W199" s="7"/>
      <c r="X199" s="7"/>
      <c r="Y199" s="7"/>
      <c r="Z199" s="15"/>
      <c r="AA199" s="15"/>
      <c r="AB199" s="11" t="str">
        <f t="shared" si="43"/>
        <v/>
      </c>
      <c r="AC199" s="11"/>
      <c r="AD199" s="11"/>
      <c r="AE199" s="11"/>
      <c r="AF199" s="11"/>
      <c r="AG199" s="11"/>
      <c r="AH199" s="11"/>
      <c r="AI199" s="11"/>
      <c r="AJ199" s="15"/>
      <c r="AK199" s="15"/>
      <c r="AL199" s="14">
        <f t="shared" si="44"/>
        <v>3</v>
      </c>
      <c r="AM199" s="11">
        <f t="shared" si="45"/>
        <v>3</v>
      </c>
      <c r="AN199" s="14">
        <f t="shared" si="46"/>
        <v>3</v>
      </c>
      <c r="AO199" s="15"/>
      <c r="AP199" s="15"/>
      <c r="AQ199" s="15"/>
    </row>
    <row r="200" spans="1:43" ht="51" hidden="1" x14ac:dyDescent="0.2">
      <c r="A200" s="7">
        <v>199</v>
      </c>
      <c r="B200" s="19" t="s">
        <v>457</v>
      </c>
      <c r="C200" s="19" t="s">
        <v>458</v>
      </c>
      <c r="D200" s="8" t="s">
        <v>34</v>
      </c>
      <c r="E200" s="19" t="s">
        <v>269</v>
      </c>
      <c r="F200" s="8" t="s">
        <v>36</v>
      </c>
      <c r="G200" s="7" t="s">
        <v>59</v>
      </c>
      <c r="H200" s="9" t="s">
        <v>44</v>
      </c>
      <c r="I200" s="10"/>
      <c r="J200" s="10" t="s">
        <v>40</v>
      </c>
      <c r="K200" s="10" t="s">
        <v>40</v>
      </c>
      <c r="L200" s="10" t="s">
        <v>40</v>
      </c>
      <c r="M200">
        <v>0</v>
      </c>
      <c r="N200">
        <v>0</v>
      </c>
      <c r="O200">
        <v>0</v>
      </c>
      <c r="P200" s="10" t="s">
        <v>44</v>
      </c>
      <c r="Q200" s="10">
        <f t="array" ref="Q200">IFERROR(SUMPRODUCT((N200:P200&gt;0)*(N200:P200))/3, 0)</f>
        <v>0</v>
      </c>
      <c r="R200" s="10"/>
      <c r="S200" s="11" t="str">
        <f t="shared" si="42"/>
        <v/>
      </c>
      <c r="T200" s="7"/>
      <c r="U200" s="7"/>
      <c r="V200" s="7"/>
      <c r="W200" s="7"/>
      <c r="X200" s="7"/>
      <c r="Y200" s="7"/>
      <c r="Z200" s="15"/>
      <c r="AA200" s="15"/>
      <c r="AB200" s="11" t="str">
        <f t="shared" si="43"/>
        <v/>
      </c>
      <c r="AC200" s="11"/>
      <c r="AD200" s="11"/>
      <c r="AE200" s="11"/>
      <c r="AF200" s="11"/>
      <c r="AG200" s="11"/>
      <c r="AH200" s="11"/>
      <c r="AI200" s="11"/>
      <c r="AJ200" s="15"/>
      <c r="AK200" s="15"/>
      <c r="AL200" s="14">
        <f t="shared" si="44"/>
        <v>3</v>
      </c>
      <c r="AM200" s="11">
        <f t="shared" si="45"/>
        <v>3</v>
      </c>
      <c r="AN200" s="14">
        <f t="shared" si="46"/>
        <v>3</v>
      </c>
      <c r="AO200" s="15"/>
      <c r="AP200" s="15"/>
      <c r="AQ200" s="15"/>
    </row>
    <row r="201" spans="1:43" ht="51" hidden="1" x14ac:dyDescent="0.2">
      <c r="A201" s="7">
        <v>200</v>
      </c>
      <c r="B201" s="19" t="s">
        <v>459</v>
      </c>
      <c r="C201" s="19" t="s">
        <v>460</v>
      </c>
      <c r="D201" s="8" t="s">
        <v>34</v>
      </c>
      <c r="E201" s="19" t="s">
        <v>269</v>
      </c>
      <c r="F201" s="8" t="s">
        <v>36</v>
      </c>
      <c r="G201" s="7" t="s">
        <v>59</v>
      </c>
      <c r="H201" s="9" t="s">
        <v>44</v>
      </c>
      <c r="I201" s="10"/>
      <c r="J201" s="10" t="s">
        <v>40</v>
      </c>
      <c r="K201" s="10" t="s">
        <v>40</v>
      </c>
      <c r="L201" s="10" t="s">
        <v>40</v>
      </c>
      <c r="M201">
        <v>0</v>
      </c>
      <c r="N201">
        <v>0</v>
      </c>
      <c r="O201">
        <v>0</v>
      </c>
      <c r="P201" s="10" t="s">
        <v>44</v>
      </c>
      <c r="Q201" s="10">
        <f t="array" ref="Q201">IFERROR(SUMPRODUCT((N201:P201&gt;0)*(N201:P201))/3, 0)</f>
        <v>0</v>
      </c>
      <c r="R201" s="10"/>
      <c r="S201" s="11" t="str">
        <f t="shared" si="42"/>
        <v/>
      </c>
      <c r="T201" s="7"/>
      <c r="U201" s="7"/>
      <c r="V201" s="7"/>
      <c r="W201" s="7"/>
      <c r="X201" s="7"/>
      <c r="Y201" s="7"/>
      <c r="Z201" s="15"/>
      <c r="AA201" s="15"/>
      <c r="AB201" s="11" t="str">
        <f t="shared" si="43"/>
        <v/>
      </c>
      <c r="AC201" s="11"/>
      <c r="AD201" s="11"/>
      <c r="AE201" s="11"/>
      <c r="AF201" s="11"/>
      <c r="AG201" s="11"/>
      <c r="AH201" s="11"/>
      <c r="AI201" s="11"/>
      <c r="AJ201" s="15"/>
      <c r="AK201" s="15"/>
      <c r="AL201" s="14">
        <f t="shared" si="44"/>
        <v>3</v>
      </c>
      <c r="AM201" s="11">
        <f t="shared" si="45"/>
        <v>3</v>
      </c>
      <c r="AN201" s="14">
        <f t="shared" si="46"/>
        <v>3</v>
      </c>
      <c r="AO201" s="15"/>
      <c r="AP201" s="15"/>
      <c r="AQ201" s="15"/>
    </row>
    <row r="202" spans="1:43" ht="34" hidden="1" x14ac:dyDescent="0.2">
      <c r="A202" s="7">
        <v>201</v>
      </c>
      <c r="B202" s="19" t="s">
        <v>461</v>
      </c>
      <c r="C202" s="19" t="s">
        <v>462</v>
      </c>
      <c r="D202" s="8" t="s">
        <v>34</v>
      </c>
      <c r="E202" s="19" t="s">
        <v>269</v>
      </c>
      <c r="F202" s="8" t="s">
        <v>36</v>
      </c>
      <c r="G202" s="7" t="s">
        <v>59</v>
      </c>
      <c r="H202" s="9" t="s">
        <v>44</v>
      </c>
      <c r="I202" s="10"/>
      <c r="J202" s="10" t="s">
        <v>40</v>
      </c>
      <c r="K202" s="10" t="s">
        <v>40</v>
      </c>
      <c r="L202" s="10" t="s">
        <v>40</v>
      </c>
      <c r="M202">
        <v>0</v>
      </c>
      <c r="N202">
        <v>0</v>
      </c>
      <c r="O202">
        <v>0</v>
      </c>
      <c r="P202" s="10" t="s">
        <v>44</v>
      </c>
      <c r="Q202" s="10">
        <f t="array" ref="Q202">IFERROR(SUMPRODUCT((N202:P202&gt;0)*(N202:P202))/3, 0)</f>
        <v>0</v>
      </c>
      <c r="R202" s="10"/>
      <c r="S202" s="11" t="str">
        <f t="shared" si="42"/>
        <v/>
      </c>
      <c r="T202" s="7"/>
      <c r="U202" s="7"/>
      <c r="V202" s="7"/>
      <c r="W202" s="7"/>
      <c r="X202" s="7"/>
      <c r="Y202" s="7"/>
      <c r="Z202" s="15"/>
      <c r="AA202" s="15"/>
      <c r="AB202" s="11" t="str">
        <f t="shared" si="43"/>
        <v/>
      </c>
      <c r="AC202" s="11"/>
      <c r="AD202" s="11"/>
      <c r="AE202" s="11"/>
      <c r="AF202" s="11"/>
      <c r="AG202" s="11"/>
      <c r="AH202" s="11"/>
      <c r="AI202" s="11"/>
      <c r="AJ202" s="15"/>
      <c r="AK202" s="15"/>
      <c r="AL202" s="14">
        <f t="shared" si="44"/>
        <v>3</v>
      </c>
      <c r="AM202" s="11">
        <f t="shared" si="45"/>
        <v>3</v>
      </c>
      <c r="AN202" s="14">
        <f t="shared" si="46"/>
        <v>3</v>
      </c>
      <c r="AO202" s="15"/>
      <c r="AP202" s="15"/>
      <c r="AQ202" s="15"/>
    </row>
    <row r="203" spans="1:43" ht="34" hidden="1" x14ac:dyDescent="0.2">
      <c r="A203" s="7">
        <v>202</v>
      </c>
      <c r="B203" s="19" t="s">
        <v>463</v>
      </c>
      <c r="C203" s="19" t="s">
        <v>464</v>
      </c>
      <c r="D203" s="8" t="s">
        <v>34</v>
      </c>
      <c r="E203" s="19" t="s">
        <v>269</v>
      </c>
      <c r="F203" s="8" t="s">
        <v>36</v>
      </c>
      <c r="G203" s="7" t="s">
        <v>59</v>
      </c>
      <c r="H203" s="9" t="s">
        <v>44</v>
      </c>
      <c r="I203" s="10"/>
      <c r="J203" s="10" t="s">
        <v>40</v>
      </c>
      <c r="K203" s="10" t="s">
        <v>40</v>
      </c>
      <c r="L203" s="10" t="s">
        <v>40</v>
      </c>
      <c r="M203">
        <v>0</v>
      </c>
      <c r="N203">
        <v>0</v>
      </c>
      <c r="O203">
        <v>0</v>
      </c>
      <c r="P203" s="10" t="s">
        <v>44</v>
      </c>
      <c r="Q203" s="10">
        <f t="array" ref="Q203">IFERROR(SUMPRODUCT((N203:P203&gt;0)*(N203:P203))/3, 0)</f>
        <v>0</v>
      </c>
      <c r="R203" s="10"/>
      <c r="S203" s="11" t="str">
        <f t="shared" si="42"/>
        <v/>
      </c>
      <c r="T203" s="7"/>
      <c r="U203" s="7"/>
      <c r="V203" s="7"/>
      <c r="W203" s="7"/>
      <c r="X203" s="7"/>
      <c r="Y203" s="7"/>
      <c r="Z203" s="15"/>
      <c r="AA203" s="15"/>
      <c r="AB203" s="11" t="str">
        <f t="shared" si="43"/>
        <v/>
      </c>
      <c r="AC203" s="11"/>
      <c r="AD203" s="11"/>
      <c r="AE203" s="11"/>
      <c r="AF203" s="11"/>
      <c r="AG203" s="11"/>
      <c r="AH203" s="11"/>
      <c r="AI203" s="11"/>
      <c r="AJ203" s="15"/>
      <c r="AK203" s="15"/>
      <c r="AL203" s="14">
        <f t="shared" si="44"/>
        <v>3</v>
      </c>
      <c r="AM203" s="11">
        <f t="shared" si="45"/>
        <v>3</v>
      </c>
      <c r="AN203" s="14">
        <f t="shared" si="46"/>
        <v>3</v>
      </c>
      <c r="AO203" s="15"/>
      <c r="AP203" s="15"/>
      <c r="AQ203" s="15"/>
    </row>
    <row r="204" spans="1:43" ht="68" hidden="1" x14ac:dyDescent="0.2">
      <c r="A204" s="7">
        <v>203</v>
      </c>
      <c r="B204" s="19" t="s">
        <v>465</v>
      </c>
      <c r="C204" s="19" t="s">
        <v>466</v>
      </c>
      <c r="D204" s="8" t="s">
        <v>34</v>
      </c>
      <c r="E204" s="19" t="s">
        <v>269</v>
      </c>
      <c r="F204" s="8" t="s">
        <v>36</v>
      </c>
      <c r="G204" s="7" t="s">
        <v>59</v>
      </c>
      <c r="H204" s="9" t="s">
        <v>44</v>
      </c>
      <c r="I204" s="10"/>
      <c r="J204" s="10" t="s">
        <v>40</v>
      </c>
      <c r="K204" s="10" t="s">
        <v>40</v>
      </c>
      <c r="L204" s="10" t="s">
        <v>40</v>
      </c>
      <c r="M204">
        <v>0</v>
      </c>
      <c r="N204">
        <v>0</v>
      </c>
      <c r="O204">
        <v>0</v>
      </c>
      <c r="P204" s="10" t="s">
        <v>44</v>
      </c>
      <c r="Q204" s="10">
        <f t="array" ref="Q204">IFERROR(SUMPRODUCT((N204:P204&gt;0)*(N204:P204))/3, 0)</f>
        <v>0</v>
      </c>
      <c r="R204" s="10"/>
      <c r="S204" s="11" t="str">
        <f t="shared" si="42"/>
        <v/>
      </c>
      <c r="T204" s="7"/>
      <c r="U204" s="7"/>
      <c r="V204" s="7"/>
      <c r="W204" s="7"/>
      <c r="X204" s="7"/>
      <c r="Y204" s="7"/>
      <c r="Z204" s="15"/>
      <c r="AA204" s="15"/>
      <c r="AB204" s="11" t="str">
        <f t="shared" si="43"/>
        <v/>
      </c>
      <c r="AC204" s="11"/>
      <c r="AD204" s="11"/>
      <c r="AE204" s="11"/>
      <c r="AF204" s="11"/>
      <c r="AG204" s="11"/>
      <c r="AH204" s="11"/>
      <c r="AI204" s="11"/>
      <c r="AJ204" s="15"/>
      <c r="AK204" s="15"/>
      <c r="AL204" s="14">
        <f t="shared" si="44"/>
        <v>3</v>
      </c>
      <c r="AM204" s="11">
        <f t="shared" si="45"/>
        <v>3</v>
      </c>
      <c r="AN204" s="14">
        <f t="shared" si="46"/>
        <v>3</v>
      </c>
      <c r="AO204" s="15"/>
      <c r="AP204" s="15"/>
      <c r="AQ204" s="15"/>
    </row>
    <row r="205" spans="1:43" ht="34" hidden="1" x14ac:dyDescent="0.2">
      <c r="A205" s="7">
        <v>204</v>
      </c>
      <c r="B205" s="19" t="s">
        <v>467</v>
      </c>
      <c r="C205" s="19" t="s">
        <v>468</v>
      </c>
      <c r="D205" s="8" t="s">
        <v>34</v>
      </c>
      <c r="E205" s="19" t="s">
        <v>269</v>
      </c>
      <c r="F205" s="8" t="s">
        <v>36</v>
      </c>
      <c r="G205" s="7" t="s">
        <v>59</v>
      </c>
      <c r="H205" s="9" t="s">
        <v>44</v>
      </c>
      <c r="I205" s="10"/>
      <c r="J205" s="10" t="s">
        <v>40</v>
      </c>
      <c r="K205" s="10" t="s">
        <v>40</v>
      </c>
      <c r="L205" s="10" t="s">
        <v>40</v>
      </c>
      <c r="M205">
        <v>0</v>
      </c>
      <c r="N205">
        <v>0</v>
      </c>
      <c r="O205">
        <v>0</v>
      </c>
      <c r="P205" s="10" t="s">
        <v>44</v>
      </c>
      <c r="Q205" s="10">
        <f t="array" ref="Q205">IFERROR(SUMPRODUCT((N205:P205&gt;0)*(N205:P205))/3, 0)</f>
        <v>0</v>
      </c>
      <c r="R205" s="10"/>
      <c r="S205" s="11" t="str">
        <f t="shared" si="42"/>
        <v/>
      </c>
      <c r="T205" s="7"/>
      <c r="U205" s="7"/>
      <c r="V205" s="7"/>
      <c r="W205" s="7"/>
      <c r="X205" s="7"/>
      <c r="Y205" s="7"/>
      <c r="Z205" s="15"/>
      <c r="AA205" s="15"/>
      <c r="AB205" s="11" t="str">
        <f t="shared" si="43"/>
        <v/>
      </c>
      <c r="AC205" s="11"/>
      <c r="AD205" s="11"/>
      <c r="AE205" s="11"/>
      <c r="AF205" s="11"/>
      <c r="AG205" s="11"/>
      <c r="AH205" s="11"/>
      <c r="AI205" s="11"/>
      <c r="AJ205" s="15"/>
      <c r="AK205" s="15"/>
      <c r="AL205" s="14">
        <f t="shared" si="44"/>
        <v>3</v>
      </c>
      <c r="AM205" s="11">
        <f t="shared" si="45"/>
        <v>3</v>
      </c>
      <c r="AN205" s="14">
        <f t="shared" si="46"/>
        <v>3</v>
      </c>
      <c r="AO205" s="15"/>
      <c r="AP205" s="15"/>
      <c r="AQ205" s="15"/>
    </row>
    <row r="206" spans="1:43" ht="34" hidden="1" x14ac:dyDescent="0.2">
      <c r="A206" s="7">
        <v>205</v>
      </c>
      <c r="B206" s="19" t="s">
        <v>469</v>
      </c>
      <c r="C206" s="19" t="s">
        <v>470</v>
      </c>
      <c r="D206" s="8" t="s">
        <v>34</v>
      </c>
      <c r="E206" s="19" t="s">
        <v>269</v>
      </c>
      <c r="F206" s="8" t="s">
        <v>36</v>
      </c>
      <c r="G206" s="7" t="s">
        <v>59</v>
      </c>
      <c r="H206" s="9" t="s">
        <v>44</v>
      </c>
      <c r="I206" s="10"/>
      <c r="J206" s="10" t="s">
        <v>40</v>
      </c>
      <c r="K206" s="10" t="s">
        <v>40</v>
      </c>
      <c r="L206" s="10" t="s">
        <v>40</v>
      </c>
      <c r="M206">
        <v>0</v>
      </c>
      <c r="N206">
        <v>0</v>
      </c>
      <c r="O206">
        <v>0</v>
      </c>
      <c r="P206" s="10" t="s">
        <v>44</v>
      </c>
      <c r="Q206" s="10">
        <f t="array" ref="Q206">IFERROR(SUMPRODUCT((N206:P206&gt;0)*(N206:P206))/3, 0)</f>
        <v>0</v>
      </c>
      <c r="R206" s="10"/>
      <c r="S206" s="11" t="str">
        <f t="shared" si="42"/>
        <v/>
      </c>
      <c r="T206" s="7"/>
      <c r="U206" s="7"/>
      <c r="V206" s="7"/>
      <c r="W206" s="7"/>
      <c r="X206" s="7"/>
      <c r="Y206" s="7"/>
      <c r="Z206" s="15"/>
      <c r="AA206" s="15"/>
      <c r="AB206" s="11" t="str">
        <f t="shared" si="43"/>
        <v/>
      </c>
      <c r="AC206" s="11"/>
      <c r="AD206" s="11"/>
      <c r="AE206" s="11"/>
      <c r="AF206" s="11"/>
      <c r="AG206" s="11"/>
      <c r="AH206" s="11"/>
      <c r="AI206" s="11"/>
      <c r="AJ206" s="15"/>
      <c r="AK206" s="15"/>
      <c r="AL206" s="14">
        <f t="shared" si="44"/>
        <v>3</v>
      </c>
      <c r="AM206" s="11">
        <f t="shared" si="45"/>
        <v>3</v>
      </c>
      <c r="AN206" s="14">
        <f t="shared" si="46"/>
        <v>3</v>
      </c>
      <c r="AO206" s="15"/>
      <c r="AP206" s="15"/>
      <c r="AQ206" s="15"/>
    </row>
    <row r="207" spans="1:43" ht="51" hidden="1" x14ac:dyDescent="0.2">
      <c r="A207" s="7">
        <v>206</v>
      </c>
      <c r="B207" s="19" t="s">
        <v>471</v>
      </c>
      <c r="C207" s="19" t="s">
        <v>472</v>
      </c>
      <c r="D207" s="8" t="s">
        <v>34</v>
      </c>
      <c r="E207" s="19" t="s">
        <v>269</v>
      </c>
      <c r="F207" s="8" t="s">
        <v>36</v>
      </c>
      <c r="G207" s="7" t="s">
        <v>59</v>
      </c>
      <c r="H207" s="9" t="s">
        <v>44</v>
      </c>
      <c r="I207" s="10"/>
      <c r="J207" s="10" t="s">
        <v>40</v>
      </c>
      <c r="K207" s="10" t="s">
        <v>40</v>
      </c>
      <c r="L207" s="10" t="s">
        <v>40</v>
      </c>
      <c r="M207">
        <v>0</v>
      </c>
      <c r="N207">
        <v>0</v>
      </c>
      <c r="O207">
        <v>0</v>
      </c>
      <c r="P207" s="10" t="s">
        <v>44</v>
      </c>
      <c r="Q207" s="10">
        <f t="array" ref="Q207">IFERROR(SUMPRODUCT((N207:P207&gt;0)*(N207:P207))/3, 0)</f>
        <v>0</v>
      </c>
      <c r="R207" s="10"/>
      <c r="S207" s="11" t="str">
        <f t="shared" si="42"/>
        <v/>
      </c>
      <c r="T207" s="7"/>
      <c r="U207" s="7"/>
      <c r="V207" s="7"/>
      <c r="W207" s="7"/>
      <c r="X207" s="7"/>
      <c r="Y207" s="7"/>
      <c r="Z207" s="15"/>
      <c r="AA207" s="15"/>
      <c r="AB207" s="11" t="str">
        <f t="shared" si="43"/>
        <v/>
      </c>
      <c r="AC207" s="11"/>
      <c r="AD207" s="11"/>
      <c r="AE207" s="11"/>
      <c r="AF207" s="11"/>
      <c r="AG207" s="11"/>
      <c r="AH207" s="11"/>
      <c r="AI207" s="11"/>
      <c r="AJ207" s="15"/>
      <c r="AK207" s="15"/>
      <c r="AL207" s="14">
        <f t="shared" si="44"/>
        <v>3</v>
      </c>
      <c r="AM207" s="11">
        <f t="shared" si="45"/>
        <v>3</v>
      </c>
      <c r="AN207" s="14">
        <f t="shared" si="46"/>
        <v>3</v>
      </c>
      <c r="AO207" s="15"/>
      <c r="AP207" s="15"/>
      <c r="AQ207" s="15"/>
    </row>
    <row r="208" spans="1:43" ht="34" hidden="1" x14ac:dyDescent="0.2">
      <c r="A208" s="7">
        <v>207</v>
      </c>
      <c r="B208" s="19" t="s">
        <v>473</v>
      </c>
      <c r="C208" s="19" t="s">
        <v>474</v>
      </c>
      <c r="D208" s="8" t="s">
        <v>34</v>
      </c>
      <c r="E208" s="19" t="s">
        <v>269</v>
      </c>
      <c r="F208" s="8" t="s">
        <v>36</v>
      </c>
      <c r="G208" s="7" t="s">
        <v>59</v>
      </c>
      <c r="H208" s="9" t="s">
        <v>44</v>
      </c>
      <c r="I208" s="10"/>
      <c r="J208" s="10" t="s">
        <v>40</v>
      </c>
      <c r="K208" s="10" t="s">
        <v>40</v>
      </c>
      <c r="L208" s="10" t="s">
        <v>40</v>
      </c>
      <c r="M208">
        <v>0</v>
      </c>
      <c r="N208">
        <v>0</v>
      </c>
      <c r="O208">
        <v>0</v>
      </c>
      <c r="P208" s="10" t="s">
        <v>44</v>
      </c>
      <c r="Q208" s="10">
        <f t="array" ref="Q208">IFERROR(SUMPRODUCT((N208:P208&gt;0)*(N208:P208))/3, 0)</f>
        <v>0</v>
      </c>
      <c r="R208" s="10"/>
      <c r="S208" s="11" t="str">
        <f t="shared" si="42"/>
        <v/>
      </c>
      <c r="T208" s="7"/>
      <c r="U208" s="7"/>
      <c r="V208" s="7"/>
      <c r="W208" s="7"/>
      <c r="X208" s="7"/>
      <c r="Y208" s="7"/>
      <c r="Z208" s="15"/>
      <c r="AA208" s="15"/>
      <c r="AB208" s="11" t="str">
        <f t="shared" si="43"/>
        <v/>
      </c>
      <c r="AC208" s="11"/>
      <c r="AD208" s="11"/>
      <c r="AE208" s="11"/>
      <c r="AF208" s="11"/>
      <c r="AG208" s="11"/>
      <c r="AH208" s="11"/>
      <c r="AI208" s="11"/>
      <c r="AJ208" s="15"/>
      <c r="AK208" s="15"/>
      <c r="AL208" s="14">
        <f t="shared" si="44"/>
        <v>3</v>
      </c>
      <c r="AM208" s="11">
        <f t="shared" si="45"/>
        <v>3</v>
      </c>
      <c r="AN208" s="14">
        <f t="shared" si="46"/>
        <v>3</v>
      </c>
      <c r="AO208" s="15"/>
      <c r="AP208" s="15"/>
      <c r="AQ208" s="15"/>
    </row>
    <row r="209" spans="1:43" ht="51" hidden="1" x14ac:dyDescent="0.2">
      <c r="A209" s="7">
        <v>208</v>
      </c>
      <c r="B209" s="19" t="s">
        <v>475</v>
      </c>
      <c r="C209" s="19" t="s">
        <v>476</v>
      </c>
      <c r="D209" s="8" t="s">
        <v>34</v>
      </c>
      <c r="E209" s="19" t="s">
        <v>269</v>
      </c>
      <c r="F209" s="8" t="s">
        <v>36</v>
      </c>
      <c r="G209" s="7" t="s">
        <v>59</v>
      </c>
      <c r="H209" s="9" t="s">
        <v>44</v>
      </c>
      <c r="I209" s="10"/>
      <c r="J209" s="10" t="s">
        <v>40</v>
      </c>
      <c r="K209" s="10" t="s">
        <v>40</v>
      </c>
      <c r="L209" s="10" t="s">
        <v>40</v>
      </c>
      <c r="M209">
        <v>0</v>
      </c>
      <c r="N209">
        <v>0</v>
      </c>
      <c r="O209">
        <v>0</v>
      </c>
      <c r="P209" s="10" t="s">
        <v>44</v>
      </c>
      <c r="Q209" s="10">
        <f t="array" ref="Q209">IFERROR(SUMPRODUCT((N209:P209&gt;0)*(N209:P209))/3, 0)</f>
        <v>0</v>
      </c>
      <c r="R209" s="10"/>
      <c r="S209" s="11" t="str">
        <f t="shared" si="42"/>
        <v/>
      </c>
      <c r="T209" s="7"/>
      <c r="U209" s="7"/>
      <c r="V209" s="7"/>
      <c r="W209" s="7"/>
      <c r="X209" s="7"/>
      <c r="Y209" s="7"/>
      <c r="Z209" s="15"/>
      <c r="AA209" s="15"/>
      <c r="AB209" s="11" t="str">
        <f t="shared" si="43"/>
        <v/>
      </c>
      <c r="AC209" s="11"/>
      <c r="AD209" s="11"/>
      <c r="AE209" s="11"/>
      <c r="AF209" s="11"/>
      <c r="AG209" s="11"/>
      <c r="AH209" s="11"/>
      <c r="AI209" s="11"/>
      <c r="AJ209" s="15"/>
      <c r="AK209" s="15"/>
      <c r="AL209" s="14">
        <f t="shared" si="44"/>
        <v>3</v>
      </c>
      <c r="AM209" s="11">
        <f t="shared" si="45"/>
        <v>3</v>
      </c>
      <c r="AN209" s="14">
        <f t="shared" si="46"/>
        <v>3</v>
      </c>
      <c r="AO209" s="15"/>
      <c r="AP209" s="15"/>
      <c r="AQ209" s="15"/>
    </row>
    <row r="210" spans="1:43" ht="51" hidden="1" x14ac:dyDescent="0.2">
      <c r="A210" s="7">
        <v>209</v>
      </c>
      <c r="B210" s="19" t="s">
        <v>477</v>
      </c>
      <c r="C210" s="19" t="s">
        <v>478</v>
      </c>
      <c r="D210" s="8" t="s">
        <v>34</v>
      </c>
      <c r="E210" s="19" t="s">
        <v>269</v>
      </c>
      <c r="F210" s="8" t="s">
        <v>36</v>
      </c>
      <c r="G210" s="7" t="s">
        <v>59</v>
      </c>
      <c r="H210" s="9" t="s">
        <v>44</v>
      </c>
      <c r="I210" s="10"/>
      <c r="J210" s="10" t="s">
        <v>40</v>
      </c>
      <c r="K210" s="10" t="s">
        <v>40</v>
      </c>
      <c r="L210" s="10" t="s">
        <v>40</v>
      </c>
      <c r="M210">
        <v>0</v>
      </c>
      <c r="N210">
        <v>0</v>
      </c>
      <c r="O210">
        <v>0</v>
      </c>
      <c r="P210" s="10" t="s">
        <v>44</v>
      </c>
      <c r="Q210" s="10">
        <f t="array" ref="Q210">IFERROR(SUMPRODUCT((N210:P210&gt;0)*(N210:P210))/3, 0)</f>
        <v>0</v>
      </c>
      <c r="R210" s="10"/>
      <c r="S210" s="11" t="str">
        <f t="shared" si="42"/>
        <v/>
      </c>
      <c r="T210" s="7"/>
      <c r="U210" s="7"/>
      <c r="V210" s="7"/>
      <c r="W210" s="7"/>
      <c r="X210" s="7"/>
      <c r="Y210" s="7"/>
      <c r="Z210" s="15"/>
      <c r="AA210" s="15"/>
      <c r="AB210" s="11" t="str">
        <f t="shared" si="43"/>
        <v/>
      </c>
      <c r="AC210" s="11"/>
      <c r="AD210" s="11"/>
      <c r="AE210" s="11"/>
      <c r="AF210" s="11"/>
      <c r="AG210" s="11"/>
      <c r="AH210" s="11"/>
      <c r="AI210" s="11"/>
      <c r="AJ210" s="15"/>
      <c r="AK210" s="15"/>
      <c r="AL210" s="14">
        <f t="shared" si="44"/>
        <v>3</v>
      </c>
      <c r="AM210" s="11">
        <f t="shared" si="45"/>
        <v>3</v>
      </c>
      <c r="AN210" s="14">
        <f t="shared" si="46"/>
        <v>3</v>
      </c>
      <c r="AO210" s="15"/>
      <c r="AP210" s="15"/>
      <c r="AQ210" s="15"/>
    </row>
    <row r="211" spans="1:43" ht="34" hidden="1" x14ac:dyDescent="0.2">
      <c r="A211" s="7">
        <v>210</v>
      </c>
      <c r="B211" s="19" t="s">
        <v>479</v>
      </c>
      <c r="C211" s="19" t="s">
        <v>480</v>
      </c>
      <c r="D211" s="8" t="s">
        <v>34</v>
      </c>
      <c r="E211" s="19" t="s">
        <v>269</v>
      </c>
      <c r="F211" s="8" t="s">
        <v>36</v>
      </c>
      <c r="G211" s="7" t="s">
        <v>59</v>
      </c>
      <c r="H211" s="9" t="s">
        <v>44</v>
      </c>
      <c r="I211" s="10"/>
      <c r="J211" s="10" t="s">
        <v>40</v>
      </c>
      <c r="K211" s="10" t="s">
        <v>40</v>
      </c>
      <c r="L211" s="10" t="s">
        <v>40</v>
      </c>
      <c r="M211">
        <v>0</v>
      </c>
      <c r="N211">
        <v>0</v>
      </c>
      <c r="O211">
        <v>0</v>
      </c>
      <c r="P211" s="10" t="s">
        <v>44</v>
      </c>
      <c r="Q211" s="10">
        <f t="array" ref="Q211">IFERROR(SUMPRODUCT((N211:P211&gt;0)*(N211:P211))/3, 0)</f>
        <v>0</v>
      </c>
      <c r="R211" s="10"/>
      <c r="S211" s="11" t="str">
        <f t="shared" si="42"/>
        <v/>
      </c>
      <c r="T211" s="7"/>
      <c r="U211" s="7"/>
      <c r="V211" s="7"/>
      <c r="W211" s="7"/>
      <c r="X211" s="7"/>
      <c r="Y211" s="7"/>
      <c r="Z211" s="15"/>
      <c r="AA211" s="15"/>
      <c r="AB211" s="11" t="str">
        <f t="shared" si="43"/>
        <v/>
      </c>
      <c r="AC211" s="11"/>
      <c r="AD211" s="11"/>
      <c r="AE211" s="11"/>
      <c r="AF211" s="11"/>
      <c r="AG211" s="11"/>
      <c r="AH211" s="11"/>
      <c r="AI211" s="11"/>
      <c r="AJ211" s="15"/>
      <c r="AK211" s="15"/>
      <c r="AL211" s="14">
        <f t="shared" si="44"/>
        <v>3</v>
      </c>
      <c r="AM211" s="11">
        <f t="shared" si="45"/>
        <v>3</v>
      </c>
      <c r="AN211" s="14">
        <f t="shared" si="46"/>
        <v>3</v>
      </c>
      <c r="AO211" s="15"/>
      <c r="AP211" s="15"/>
      <c r="AQ211" s="15"/>
    </row>
    <row r="212" spans="1:43" ht="51" hidden="1" x14ac:dyDescent="0.2">
      <c r="A212" s="7">
        <v>211</v>
      </c>
      <c r="B212" s="19" t="s">
        <v>481</v>
      </c>
      <c r="C212" s="19" t="s">
        <v>482</v>
      </c>
      <c r="D212" s="8" t="s">
        <v>34</v>
      </c>
      <c r="E212" s="19" t="s">
        <v>269</v>
      </c>
      <c r="F212" s="8" t="s">
        <v>36</v>
      </c>
      <c r="G212" s="7" t="s">
        <v>59</v>
      </c>
      <c r="H212" s="9" t="s">
        <v>44</v>
      </c>
      <c r="I212" s="10"/>
      <c r="J212" s="10" t="s">
        <v>40</v>
      </c>
      <c r="K212" s="10" t="s">
        <v>40</v>
      </c>
      <c r="L212" s="10" t="s">
        <v>40</v>
      </c>
      <c r="M212">
        <v>0</v>
      </c>
      <c r="N212">
        <v>0</v>
      </c>
      <c r="O212">
        <v>0</v>
      </c>
      <c r="P212" s="10" t="s">
        <v>44</v>
      </c>
      <c r="Q212" s="10">
        <f t="array" ref="Q212">IFERROR(SUMPRODUCT((N212:P212&gt;0)*(N212:P212))/3, 0)</f>
        <v>0</v>
      </c>
      <c r="R212" s="10"/>
      <c r="S212" s="11" t="str">
        <f t="shared" si="42"/>
        <v/>
      </c>
      <c r="T212" s="7"/>
      <c r="U212" s="7"/>
      <c r="V212" s="7"/>
      <c r="W212" s="7"/>
      <c r="X212" s="7"/>
      <c r="Y212" s="7"/>
      <c r="Z212" s="15"/>
      <c r="AA212" s="15"/>
      <c r="AB212" s="11" t="str">
        <f t="shared" si="43"/>
        <v/>
      </c>
      <c r="AC212" s="11"/>
      <c r="AD212" s="11"/>
      <c r="AE212" s="11"/>
      <c r="AF212" s="11"/>
      <c r="AG212" s="11"/>
      <c r="AH212" s="11"/>
      <c r="AI212" s="11"/>
      <c r="AJ212" s="15"/>
      <c r="AK212" s="15"/>
      <c r="AL212" s="14">
        <f t="shared" si="44"/>
        <v>3</v>
      </c>
      <c r="AM212" s="11">
        <f t="shared" si="45"/>
        <v>3</v>
      </c>
      <c r="AN212" s="14">
        <f t="shared" si="46"/>
        <v>3</v>
      </c>
      <c r="AO212" s="15"/>
      <c r="AP212" s="15"/>
      <c r="AQ212" s="15"/>
    </row>
    <row r="213" spans="1:43" ht="51" hidden="1" x14ac:dyDescent="0.2">
      <c r="A213" s="7">
        <v>212</v>
      </c>
      <c r="B213" s="19" t="s">
        <v>483</v>
      </c>
      <c r="C213" s="19" t="s">
        <v>484</v>
      </c>
      <c r="D213" s="8" t="s">
        <v>34</v>
      </c>
      <c r="E213" s="19" t="s">
        <v>269</v>
      </c>
      <c r="F213" s="8" t="s">
        <v>36</v>
      </c>
      <c r="G213" s="7" t="s">
        <v>59</v>
      </c>
      <c r="H213" s="9" t="s">
        <v>44</v>
      </c>
      <c r="I213" s="10"/>
      <c r="J213" s="10" t="s">
        <v>40</v>
      </c>
      <c r="K213" s="10" t="s">
        <v>40</v>
      </c>
      <c r="L213" s="10" t="s">
        <v>40</v>
      </c>
      <c r="M213">
        <v>0</v>
      </c>
      <c r="N213">
        <v>0</v>
      </c>
      <c r="O213">
        <v>0</v>
      </c>
      <c r="P213" s="10" t="s">
        <v>44</v>
      </c>
      <c r="Q213" s="10">
        <f t="array" ref="Q213">IFERROR(SUMPRODUCT((N213:P213&gt;0)*(N213:P213))/3, 0)</f>
        <v>0</v>
      </c>
      <c r="R213" s="10"/>
      <c r="S213" s="11" t="str">
        <f t="shared" si="42"/>
        <v/>
      </c>
      <c r="T213" s="7"/>
      <c r="U213" s="7"/>
      <c r="V213" s="7"/>
      <c r="W213" s="7"/>
      <c r="X213" s="7"/>
      <c r="Y213" s="7"/>
      <c r="Z213" s="15"/>
      <c r="AA213" s="15"/>
      <c r="AB213" s="11" t="str">
        <f t="shared" si="43"/>
        <v/>
      </c>
      <c r="AC213" s="11"/>
      <c r="AD213" s="11"/>
      <c r="AE213" s="11"/>
      <c r="AF213" s="11"/>
      <c r="AG213" s="11"/>
      <c r="AH213" s="11"/>
      <c r="AI213" s="11"/>
      <c r="AJ213" s="15"/>
      <c r="AK213" s="15"/>
      <c r="AL213" s="14">
        <f t="shared" si="44"/>
        <v>3</v>
      </c>
      <c r="AM213" s="11">
        <f t="shared" si="45"/>
        <v>3</v>
      </c>
      <c r="AN213" s="14">
        <f t="shared" si="46"/>
        <v>3</v>
      </c>
      <c r="AO213" s="15"/>
      <c r="AP213" s="15"/>
      <c r="AQ213" s="15"/>
    </row>
    <row r="214" spans="1:43" ht="51" hidden="1" x14ac:dyDescent="0.2">
      <c r="A214" s="7">
        <v>213</v>
      </c>
      <c r="B214" s="19" t="s">
        <v>485</v>
      </c>
      <c r="C214" s="19" t="s">
        <v>486</v>
      </c>
      <c r="D214" s="8" t="s">
        <v>34</v>
      </c>
      <c r="E214" s="19" t="s">
        <v>269</v>
      </c>
      <c r="F214" s="8" t="s">
        <v>36</v>
      </c>
      <c r="G214" s="7" t="s">
        <v>59</v>
      </c>
      <c r="H214" s="9" t="s">
        <v>44</v>
      </c>
      <c r="I214" s="10"/>
      <c r="J214" s="10" t="s">
        <v>40</v>
      </c>
      <c r="K214" s="10" t="s">
        <v>40</v>
      </c>
      <c r="L214" s="10" t="s">
        <v>40</v>
      </c>
      <c r="M214">
        <v>0</v>
      </c>
      <c r="N214">
        <v>0</v>
      </c>
      <c r="O214">
        <v>0</v>
      </c>
      <c r="P214" s="10" t="s">
        <v>44</v>
      </c>
      <c r="Q214" s="10">
        <f t="array" ref="Q214">IFERROR(SUMPRODUCT((N214:P214&gt;0)*(N214:P214))/3, 0)</f>
        <v>0</v>
      </c>
      <c r="R214" s="10"/>
      <c r="S214" s="11" t="str">
        <f t="shared" si="42"/>
        <v/>
      </c>
      <c r="T214" s="7"/>
      <c r="U214" s="7"/>
      <c r="V214" s="7"/>
      <c r="W214" s="7"/>
      <c r="X214" s="7"/>
      <c r="Y214" s="7"/>
      <c r="Z214" s="15"/>
      <c r="AA214" s="15"/>
      <c r="AB214" s="11" t="str">
        <f t="shared" si="43"/>
        <v/>
      </c>
      <c r="AC214" s="11"/>
      <c r="AD214" s="11"/>
      <c r="AE214" s="11"/>
      <c r="AF214" s="11"/>
      <c r="AG214" s="11"/>
      <c r="AH214" s="11"/>
      <c r="AI214" s="11"/>
      <c r="AJ214" s="15"/>
      <c r="AK214" s="15"/>
      <c r="AL214" s="14">
        <f t="shared" si="44"/>
        <v>3</v>
      </c>
      <c r="AM214" s="11">
        <f t="shared" si="45"/>
        <v>3</v>
      </c>
      <c r="AN214" s="14">
        <f t="shared" si="46"/>
        <v>3</v>
      </c>
      <c r="AO214" s="15"/>
      <c r="AP214" s="15"/>
      <c r="AQ214" s="15"/>
    </row>
    <row r="215" spans="1:43" ht="51" hidden="1" x14ac:dyDescent="0.2">
      <c r="A215" s="7">
        <v>214</v>
      </c>
      <c r="B215" s="19" t="s">
        <v>487</v>
      </c>
      <c r="C215" s="19" t="s">
        <v>488</v>
      </c>
      <c r="D215" s="8" t="s">
        <v>34</v>
      </c>
      <c r="E215" s="19" t="s">
        <v>269</v>
      </c>
      <c r="F215" s="8" t="s">
        <v>36</v>
      </c>
      <c r="G215" s="7" t="s">
        <v>59</v>
      </c>
      <c r="H215" s="9" t="s">
        <v>44</v>
      </c>
      <c r="I215" s="10"/>
      <c r="J215" s="10" t="s">
        <v>40</v>
      </c>
      <c r="K215" s="10" t="s">
        <v>40</v>
      </c>
      <c r="L215" s="10" t="s">
        <v>40</v>
      </c>
      <c r="M215">
        <v>0</v>
      </c>
      <c r="N215">
        <v>0</v>
      </c>
      <c r="O215">
        <v>0</v>
      </c>
      <c r="P215" s="10" t="s">
        <v>44</v>
      </c>
      <c r="Q215" s="10">
        <f t="array" ref="Q215">IFERROR(SUMPRODUCT((N215:P215&gt;0)*(N215:P215))/3, 0)</f>
        <v>0</v>
      </c>
      <c r="R215" s="10"/>
      <c r="S215" s="11" t="str">
        <f t="shared" si="42"/>
        <v/>
      </c>
      <c r="T215" s="7"/>
      <c r="U215" s="7"/>
      <c r="V215" s="7"/>
      <c r="W215" s="7"/>
      <c r="X215" s="7"/>
      <c r="Y215" s="7"/>
      <c r="Z215" s="15"/>
      <c r="AA215" s="15"/>
      <c r="AB215" s="11" t="str">
        <f t="shared" si="43"/>
        <v/>
      </c>
      <c r="AC215" s="11"/>
      <c r="AD215" s="11"/>
      <c r="AE215" s="11"/>
      <c r="AF215" s="11"/>
      <c r="AG215" s="11"/>
      <c r="AH215" s="11"/>
      <c r="AI215" s="11"/>
      <c r="AJ215" s="15"/>
      <c r="AK215" s="15"/>
      <c r="AL215" s="14">
        <f t="shared" si="44"/>
        <v>3</v>
      </c>
      <c r="AM215" s="11">
        <f t="shared" si="45"/>
        <v>3</v>
      </c>
      <c r="AN215" s="14">
        <f t="shared" si="46"/>
        <v>3</v>
      </c>
      <c r="AO215" s="15"/>
      <c r="AP215" s="15"/>
      <c r="AQ215" s="15"/>
    </row>
    <row r="216" spans="1:43" ht="51" hidden="1" x14ac:dyDescent="0.2">
      <c r="A216" s="7">
        <v>215</v>
      </c>
      <c r="B216" s="19" t="s">
        <v>489</v>
      </c>
      <c r="C216" s="19" t="s">
        <v>490</v>
      </c>
      <c r="D216" s="8" t="s">
        <v>34</v>
      </c>
      <c r="E216" s="19" t="s">
        <v>269</v>
      </c>
      <c r="F216" s="8" t="s">
        <v>36</v>
      </c>
      <c r="G216" s="7" t="s">
        <v>59</v>
      </c>
      <c r="H216" s="9" t="s">
        <v>44</v>
      </c>
      <c r="I216" s="10"/>
      <c r="J216" s="10" t="s">
        <v>40</v>
      </c>
      <c r="K216" s="10" t="s">
        <v>40</v>
      </c>
      <c r="L216" s="10" t="s">
        <v>40</v>
      </c>
      <c r="M216">
        <v>0</v>
      </c>
      <c r="N216">
        <v>0</v>
      </c>
      <c r="O216">
        <v>0</v>
      </c>
      <c r="P216" s="10" t="s">
        <v>44</v>
      </c>
      <c r="Q216" s="10">
        <f t="array" ref="Q216">IFERROR(SUMPRODUCT((N216:P216&gt;0)*(N216:P216))/3, 0)</f>
        <v>0</v>
      </c>
      <c r="R216" s="10"/>
      <c r="S216" s="11" t="str">
        <f t="shared" si="42"/>
        <v/>
      </c>
      <c r="T216" s="7"/>
      <c r="U216" s="7"/>
      <c r="V216" s="7"/>
      <c r="W216" s="7"/>
      <c r="X216" s="7"/>
      <c r="Y216" s="7"/>
      <c r="Z216" s="15"/>
      <c r="AA216" s="15"/>
      <c r="AB216" s="11" t="str">
        <f t="shared" si="43"/>
        <v/>
      </c>
      <c r="AC216" s="11"/>
      <c r="AD216" s="11"/>
      <c r="AE216" s="11"/>
      <c r="AF216" s="11"/>
      <c r="AG216" s="11"/>
      <c r="AH216" s="11"/>
      <c r="AI216" s="11"/>
      <c r="AJ216" s="15"/>
      <c r="AK216" s="15"/>
      <c r="AL216" s="14">
        <f t="shared" si="44"/>
        <v>3</v>
      </c>
      <c r="AM216" s="11">
        <f t="shared" si="45"/>
        <v>3</v>
      </c>
      <c r="AN216" s="14">
        <f t="shared" si="46"/>
        <v>3</v>
      </c>
      <c r="AO216" s="15"/>
      <c r="AP216" s="15"/>
      <c r="AQ216" s="15"/>
    </row>
    <row r="217" spans="1:43" ht="51" hidden="1" x14ac:dyDescent="0.2">
      <c r="A217" s="7">
        <v>216</v>
      </c>
      <c r="B217" s="19" t="s">
        <v>491</v>
      </c>
      <c r="C217" s="19" t="s">
        <v>492</v>
      </c>
      <c r="D217" s="8" t="s">
        <v>34</v>
      </c>
      <c r="E217" s="19" t="s">
        <v>269</v>
      </c>
      <c r="F217" s="8" t="s">
        <v>36</v>
      </c>
      <c r="G217" s="7" t="s">
        <v>59</v>
      </c>
      <c r="H217" s="9" t="s">
        <v>44</v>
      </c>
      <c r="I217" s="10"/>
      <c r="J217" s="10" t="s">
        <v>40</v>
      </c>
      <c r="K217" s="10" t="s">
        <v>40</v>
      </c>
      <c r="L217" s="10" t="s">
        <v>40</v>
      </c>
      <c r="M217">
        <v>0</v>
      </c>
      <c r="N217">
        <v>0</v>
      </c>
      <c r="O217">
        <v>0</v>
      </c>
      <c r="P217" s="10" t="s">
        <v>44</v>
      </c>
      <c r="Q217" s="10">
        <f t="array" ref="Q217">IFERROR(SUMPRODUCT((N217:P217&gt;0)*(N217:P217))/3, 0)</f>
        <v>0</v>
      </c>
      <c r="R217" s="10"/>
      <c r="S217" s="11" t="str">
        <f t="shared" si="42"/>
        <v/>
      </c>
      <c r="T217" s="7"/>
      <c r="U217" s="7"/>
      <c r="V217" s="7"/>
      <c r="W217" s="7"/>
      <c r="X217" s="7"/>
      <c r="Y217" s="7"/>
      <c r="Z217" s="15"/>
      <c r="AA217" s="15"/>
      <c r="AB217" s="11" t="str">
        <f t="shared" si="43"/>
        <v/>
      </c>
      <c r="AC217" s="11"/>
      <c r="AD217" s="11"/>
      <c r="AE217" s="11"/>
      <c r="AF217" s="11"/>
      <c r="AG217" s="11"/>
      <c r="AH217" s="11"/>
      <c r="AI217" s="11"/>
      <c r="AJ217" s="15"/>
      <c r="AK217" s="15"/>
      <c r="AL217" s="14">
        <f t="shared" si="44"/>
        <v>3</v>
      </c>
      <c r="AM217" s="11">
        <f t="shared" si="45"/>
        <v>3</v>
      </c>
      <c r="AN217" s="14">
        <f t="shared" si="46"/>
        <v>3</v>
      </c>
      <c r="AO217" s="15"/>
      <c r="AP217" s="15"/>
      <c r="AQ217" s="15"/>
    </row>
    <row r="218" spans="1:43" ht="51" hidden="1" x14ac:dyDescent="0.2">
      <c r="A218" s="7">
        <v>217</v>
      </c>
      <c r="B218" s="19" t="s">
        <v>493</v>
      </c>
      <c r="C218" s="19" t="s">
        <v>494</v>
      </c>
      <c r="D218" s="8" t="s">
        <v>34</v>
      </c>
      <c r="E218" s="19" t="s">
        <v>269</v>
      </c>
      <c r="F218" s="8" t="s">
        <v>36</v>
      </c>
      <c r="G218" s="7" t="s">
        <v>59</v>
      </c>
      <c r="H218" s="9" t="s">
        <v>44</v>
      </c>
      <c r="I218" s="10"/>
      <c r="J218" s="10" t="s">
        <v>40</v>
      </c>
      <c r="K218" s="10" t="s">
        <v>40</v>
      </c>
      <c r="L218" s="10" t="s">
        <v>40</v>
      </c>
      <c r="M218">
        <v>0</v>
      </c>
      <c r="N218">
        <v>0</v>
      </c>
      <c r="O218">
        <v>0</v>
      </c>
      <c r="P218" s="10" t="s">
        <v>44</v>
      </c>
      <c r="Q218" s="10">
        <f t="array" ref="Q218">IFERROR(SUMPRODUCT((N218:P218&gt;0)*(N218:P218))/3, 0)</f>
        <v>0</v>
      </c>
      <c r="R218" s="10"/>
      <c r="S218" s="11" t="str">
        <f t="shared" si="42"/>
        <v/>
      </c>
      <c r="T218" s="7"/>
      <c r="U218" s="7"/>
      <c r="V218" s="7"/>
      <c r="W218" s="7"/>
      <c r="X218" s="7"/>
      <c r="Y218" s="7"/>
      <c r="Z218" s="15"/>
      <c r="AA218" s="15"/>
      <c r="AB218" s="11" t="str">
        <f t="shared" si="43"/>
        <v/>
      </c>
      <c r="AC218" s="11"/>
      <c r="AD218" s="11"/>
      <c r="AE218" s="11"/>
      <c r="AF218" s="11"/>
      <c r="AG218" s="11"/>
      <c r="AH218" s="11"/>
      <c r="AI218" s="11"/>
      <c r="AJ218" s="15"/>
      <c r="AK218" s="15"/>
      <c r="AL218" s="14">
        <f t="shared" si="44"/>
        <v>3</v>
      </c>
      <c r="AM218" s="11">
        <f t="shared" si="45"/>
        <v>3</v>
      </c>
      <c r="AN218" s="14">
        <f t="shared" si="46"/>
        <v>3</v>
      </c>
      <c r="AO218" s="15"/>
      <c r="AP218" s="15"/>
      <c r="AQ218" s="15"/>
    </row>
    <row r="219" spans="1:43" ht="51" hidden="1" x14ac:dyDescent="0.2">
      <c r="A219" s="7">
        <v>218</v>
      </c>
      <c r="B219" s="19" t="s">
        <v>495</v>
      </c>
      <c r="C219" s="19" t="s">
        <v>496</v>
      </c>
      <c r="D219" s="8" t="s">
        <v>34</v>
      </c>
      <c r="E219" s="19" t="s">
        <v>269</v>
      </c>
      <c r="F219" s="8" t="s">
        <v>36</v>
      </c>
      <c r="G219" s="7" t="s">
        <v>59</v>
      </c>
      <c r="H219" s="9" t="s">
        <v>44</v>
      </c>
      <c r="I219" s="10"/>
      <c r="J219" s="10" t="s">
        <v>40</v>
      </c>
      <c r="K219" s="10" t="s">
        <v>40</v>
      </c>
      <c r="L219" s="10" t="s">
        <v>40</v>
      </c>
      <c r="M219">
        <v>0</v>
      </c>
      <c r="N219">
        <v>0</v>
      </c>
      <c r="O219">
        <v>0</v>
      </c>
      <c r="P219" s="10" t="s">
        <v>44</v>
      </c>
      <c r="Q219" s="10">
        <f t="array" ref="Q219">IFERROR(SUMPRODUCT((N219:P219&gt;0)*(N219:P219))/3, 0)</f>
        <v>0</v>
      </c>
      <c r="R219" s="10"/>
      <c r="S219" s="11" t="str">
        <f t="shared" si="42"/>
        <v/>
      </c>
      <c r="T219" s="7"/>
      <c r="U219" s="7"/>
      <c r="V219" s="7"/>
      <c r="W219" s="7"/>
      <c r="X219" s="7"/>
      <c r="Y219" s="7"/>
      <c r="Z219" s="15"/>
      <c r="AA219" s="15"/>
      <c r="AB219" s="11" t="str">
        <f t="shared" si="43"/>
        <v/>
      </c>
      <c r="AC219" s="11"/>
      <c r="AD219" s="11"/>
      <c r="AE219" s="11"/>
      <c r="AF219" s="11"/>
      <c r="AG219" s="11"/>
      <c r="AH219" s="11"/>
      <c r="AI219" s="11"/>
      <c r="AJ219" s="15"/>
      <c r="AK219" s="15"/>
      <c r="AL219" s="14">
        <f t="shared" si="44"/>
        <v>3</v>
      </c>
      <c r="AM219" s="11">
        <f t="shared" si="45"/>
        <v>3</v>
      </c>
      <c r="AN219" s="14">
        <f t="shared" si="46"/>
        <v>3</v>
      </c>
      <c r="AO219" s="15"/>
      <c r="AP219" s="15"/>
      <c r="AQ219" s="15"/>
    </row>
    <row r="220" spans="1:43" ht="51" hidden="1" x14ac:dyDescent="0.2">
      <c r="A220" s="7">
        <v>219</v>
      </c>
      <c r="B220" s="19" t="s">
        <v>497</v>
      </c>
      <c r="C220" s="19" t="s">
        <v>498</v>
      </c>
      <c r="D220" s="8" t="s">
        <v>34</v>
      </c>
      <c r="E220" s="19" t="s">
        <v>269</v>
      </c>
      <c r="F220" s="8" t="s">
        <v>36</v>
      </c>
      <c r="G220" s="7" t="s">
        <v>59</v>
      </c>
      <c r="H220" s="9" t="s">
        <v>44</v>
      </c>
      <c r="I220" s="10"/>
      <c r="J220" s="10" t="s">
        <v>40</v>
      </c>
      <c r="K220" s="10" t="s">
        <v>40</v>
      </c>
      <c r="L220" s="10" t="s">
        <v>40</v>
      </c>
      <c r="M220">
        <v>0</v>
      </c>
      <c r="N220">
        <v>0</v>
      </c>
      <c r="O220">
        <v>0</v>
      </c>
      <c r="P220" s="10" t="s">
        <v>44</v>
      </c>
      <c r="Q220" s="10">
        <f t="array" ref="Q220">IFERROR(SUMPRODUCT((N220:P220&gt;0)*(N220:P220))/3, 0)</f>
        <v>0</v>
      </c>
      <c r="R220" s="10"/>
      <c r="S220" s="11" t="str">
        <f t="shared" si="42"/>
        <v/>
      </c>
      <c r="T220" s="7"/>
      <c r="U220" s="7"/>
      <c r="V220" s="7"/>
      <c r="W220" s="7"/>
      <c r="X220" s="7"/>
      <c r="Y220" s="7"/>
      <c r="Z220" s="15"/>
      <c r="AA220" s="15"/>
      <c r="AB220" s="11" t="str">
        <f t="shared" si="43"/>
        <v/>
      </c>
      <c r="AC220" s="11"/>
      <c r="AD220" s="11"/>
      <c r="AE220" s="11"/>
      <c r="AF220" s="11"/>
      <c r="AG220" s="11"/>
      <c r="AH220" s="11"/>
      <c r="AI220" s="11"/>
      <c r="AJ220" s="15"/>
      <c r="AK220" s="15"/>
      <c r="AL220" s="14">
        <f t="shared" si="44"/>
        <v>3</v>
      </c>
      <c r="AM220" s="11">
        <f t="shared" si="45"/>
        <v>3</v>
      </c>
      <c r="AN220" s="14">
        <f t="shared" si="46"/>
        <v>3</v>
      </c>
      <c r="AO220" s="15"/>
      <c r="AP220" s="15"/>
      <c r="AQ220" s="15"/>
    </row>
    <row r="221" spans="1:43" ht="51" hidden="1" x14ac:dyDescent="0.2">
      <c r="A221" s="7">
        <v>220</v>
      </c>
      <c r="B221" s="19" t="s">
        <v>499</v>
      </c>
      <c r="C221" s="19" t="s">
        <v>500</v>
      </c>
      <c r="D221" s="8" t="s">
        <v>34</v>
      </c>
      <c r="E221" s="19" t="s">
        <v>269</v>
      </c>
      <c r="F221" s="8" t="s">
        <v>36</v>
      </c>
      <c r="G221" s="7" t="s">
        <v>59</v>
      </c>
      <c r="H221" s="9" t="s">
        <v>44</v>
      </c>
      <c r="I221" s="10"/>
      <c r="J221" s="10" t="s">
        <v>40</v>
      </c>
      <c r="K221" s="10" t="s">
        <v>40</v>
      </c>
      <c r="L221" s="10" t="s">
        <v>40</v>
      </c>
      <c r="M221">
        <v>0</v>
      </c>
      <c r="N221">
        <v>0</v>
      </c>
      <c r="O221">
        <v>0</v>
      </c>
      <c r="P221" s="10" t="s">
        <v>44</v>
      </c>
      <c r="Q221" s="10">
        <f t="array" ref="Q221">IFERROR(SUMPRODUCT((N221:P221&gt;0)*(N221:P221))/3, 0)</f>
        <v>0</v>
      </c>
      <c r="R221" s="10"/>
      <c r="S221" s="11" t="str">
        <f t="shared" si="42"/>
        <v/>
      </c>
      <c r="T221" s="7"/>
      <c r="U221" s="7"/>
      <c r="V221" s="7"/>
      <c r="W221" s="7"/>
      <c r="X221" s="7"/>
      <c r="Y221" s="7"/>
      <c r="Z221" s="15"/>
      <c r="AA221" s="15"/>
      <c r="AB221" s="11" t="str">
        <f t="shared" si="43"/>
        <v/>
      </c>
      <c r="AC221" s="11"/>
      <c r="AD221" s="11"/>
      <c r="AE221" s="11"/>
      <c r="AF221" s="11"/>
      <c r="AG221" s="11"/>
      <c r="AH221" s="11"/>
      <c r="AI221" s="11"/>
      <c r="AJ221" s="15"/>
      <c r="AK221" s="15"/>
      <c r="AL221" s="14">
        <f t="shared" si="44"/>
        <v>3</v>
      </c>
      <c r="AM221" s="11">
        <f t="shared" si="45"/>
        <v>3</v>
      </c>
      <c r="AN221" s="14">
        <f t="shared" si="46"/>
        <v>3</v>
      </c>
      <c r="AO221" s="15"/>
      <c r="AP221" s="15"/>
      <c r="AQ221" s="15"/>
    </row>
    <row r="222" spans="1:43" ht="51" hidden="1" x14ac:dyDescent="0.2">
      <c r="A222" s="7">
        <v>221</v>
      </c>
      <c r="B222" s="19" t="s">
        <v>501</v>
      </c>
      <c r="C222" s="19" t="s">
        <v>502</v>
      </c>
      <c r="D222" s="8" t="s">
        <v>34</v>
      </c>
      <c r="E222" s="19" t="s">
        <v>269</v>
      </c>
      <c r="F222" s="8" t="s">
        <v>36</v>
      </c>
      <c r="G222" s="7" t="s">
        <v>59</v>
      </c>
      <c r="H222" s="9" t="s">
        <v>44</v>
      </c>
      <c r="I222" s="10"/>
      <c r="J222" s="10" t="s">
        <v>40</v>
      </c>
      <c r="K222" s="10" t="s">
        <v>40</v>
      </c>
      <c r="L222" s="10" t="s">
        <v>40</v>
      </c>
      <c r="M222">
        <v>0</v>
      </c>
      <c r="N222">
        <v>0</v>
      </c>
      <c r="O222">
        <v>0</v>
      </c>
      <c r="P222" s="10" t="s">
        <v>44</v>
      </c>
      <c r="Q222" s="10">
        <f t="array" ref="Q222">IFERROR(SUMPRODUCT((N222:P222&gt;0)*(N222:P222))/3, 0)</f>
        <v>0</v>
      </c>
      <c r="R222" s="10"/>
      <c r="S222" s="11" t="str">
        <f t="shared" si="42"/>
        <v/>
      </c>
      <c r="T222" s="7"/>
      <c r="U222" s="7"/>
      <c r="V222" s="7"/>
      <c r="W222" s="7"/>
      <c r="X222" s="7"/>
      <c r="Y222" s="7"/>
      <c r="Z222" s="15"/>
      <c r="AA222" s="15"/>
      <c r="AB222" s="11" t="str">
        <f t="shared" si="43"/>
        <v/>
      </c>
      <c r="AC222" s="11"/>
      <c r="AD222" s="11"/>
      <c r="AE222" s="11"/>
      <c r="AF222" s="11"/>
      <c r="AG222" s="11"/>
      <c r="AH222" s="11"/>
      <c r="AI222" s="11"/>
      <c r="AJ222" s="15"/>
      <c r="AK222" s="15"/>
      <c r="AL222" s="14">
        <f t="shared" si="44"/>
        <v>3</v>
      </c>
      <c r="AM222" s="11">
        <f t="shared" si="45"/>
        <v>3</v>
      </c>
      <c r="AN222" s="14">
        <f t="shared" si="46"/>
        <v>3</v>
      </c>
      <c r="AO222" s="15"/>
      <c r="AP222" s="15"/>
      <c r="AQ222" s="15"/>
    </row>
    <row r="223" spans="1:43" ht="51" hidden="1" x14ac:dyDescent="0.2">
      <c r="A223" s="7">
        <v>222</v>
      </c>
      <c r="B223" s="19" t="s">
        <v>503</v>
      </c>
      <c r="C223" s="19" t="s">
        <v>504</v>
      </c>
      <c r="D223" s="8" t="s">
        <v>34</v>
      </c>
      <c r="E223" s="19" t="s">
        <v>269</v>
      </c>
      <c r="F223" s="8" t="s">
        <v>36</v>
      </c>
      <c r="G223" s="7" t="s">
        <v>59</v>
      </c>
      <c r="H223" s="9" t="s">
        <v>44</v>
      </c>
      <c r="I223" s="10"/>
      <c r="J223" s="10" t="s">
        <v>40</v>
      </c>
      <c r="K223" s="10" t="s">
        <v>40</v>
      </c>
      <c r="L223" s="10" t="s">
        <v>40</v>
      </c>
      <c r="M223">
        <v>0</v>
      </c>
      <c r="N223">
        <v>0</v>
      </c>
      <c r="O223">
        <v>0</v>
      </c>
      <c r="P223" s="10" t="s">
        <v>44</v>
      </c>
      <c r="Q223" s="10">
        <f t="array" ref="Q223">IFERROR(SUMPRODUCT((N223:P223&gt;0)*(N223:P223))/3, 0)</f>
        <v>0</v>
      </c>
      <c r="R223" s="10"/>
      <c r="S223" s="11" t="str">
        <f t="shared" si="42"/>
        <v/>
      </c>
      <c r="T223" s="7"/>
      <c r="U223" s="7"/>
      <c r="V223" s="7"/>
      <c r="W223" s="7"/>
      <c r="X223" s="7"/>
      <c r="Y223" s="7"/>
      <c r="Z223" s="15"/>
      <c r="AA223" s="15"/>
      <c r="AB223" s="11" t="str">
        <f t="shared" si="43"/>
        <v/>
      </c>
      <c r="AC223" s="11"/>
      <c r="AD223" s="11"/>
      <c r="AE223" s="11"/>
      <c r="AF223" s="11"/>
      <c r="AG223" s="11"/>
      <c r="AH223" s="11"/>
      <c r="AI223" s="11"/>
      <c r="AJ223" s="15"/>
      <c r="AK223" s="15"/>
      <c r="AL223" s="14">
        <f t="shared" si="44"/>
        <v>3</v>
      </c>
      <c r="AM223" s="11">
        <f t="shared" si="45"/>
        <v>3</v>
      </c>
      <c r="AN223" s="14">
        <f t="shared" si="46"/>
        <v>3</v>
      </c>
      <c r="AO223" s="15"/>
      <c r="AP223" s="15"/>
      <c r="AQ223" s="15"/>
    </row>
    <row r="224" spans="1:43" ht="51" hidden="1" x14ac:dyDescent="0.2">
      <c r="A224" s="7">
        <v>223</v>
      </c>
      <c r="B224" s="19" t="s">
        <v>505</v>
      </c>
      <c r="C224" s="19" t="s">
        <v>506</v>
      </c>
      <c r="D224" s="8" t="s">
        <v>34</v>
      </c>
      <c r="E224" s="19" t="s">
        <v>269</v>
      </c>
      <c r="F224" s="8" t="s">
        <v>36</v>
      </c>
      <c r="G224" s="7" t="s">
        <v>59</v>
      </c>
      <c r="H224" s="9" t="s">
        <v>44</v>
      </c>
      <c r="I224" s="10"/>
      <c r="J224" s="10" t="s">
        <v>40</v>
      </c>
      <c r="K224" s="10" t="s">
        <v>40</v>
      </c>
      <c r="L224" s="10" t="s">
        <v>40</v>
      </c>
      <c r="M224">
        <v>0</v>
      </c>
      <c r="N224">
        <v>0</v>
      </c>
      <c r="O224">
        <v>0</v>
      </c>
      <c r="P224" s="10" t="s">
        <v>44</v>
      </c>
      <c r="Q224" s="10">
        <f t="array" ref="Q224">IFERROR(SUMPRODUCT((N224:P224&gt;0)*(N224:P224))/3, 0)</f>
        <v>0</v>
      </c>
      <c r="R224" s="10"/>
      <c r="S224" s="11" t="str">
        <f t="shared" si="42"/>
        <v/>
      </c>
      <c r="T224" s="7"/>
      <c r="U224" s="7"/>
      <c r="V224" s="7"/>
      <c r="W224" s="7"/>
      <c r="X224" s="7"/>
      <c r="Y224" s="7"/>
      <c r="Z224" s="15"/>
      <c r="AA224" s="15"/>
      <c r="AB224" s="11" t="str">
        <f t="shared" si="43"/>
        <v/>
      </c>
      <c r="AC224" s="11"/>
      <c r="AD224" s="11"/>
      <c r="AE224" s="11"/>
      <c r="AF224" s="11"/>
      <c r="AG224" s="11"/>
      <c r="AH224" s="11"/>
      <c r="AI224" s="11"/>
      <c r="AJ224" s="15"/>
      <c r="AK224" s="15"/>
      <c r="AL224" s="14">
        <f t="shared" si="44"/>
        <v>3</v>
      </c>
      <c r="AM224" s="11">
        <f t="shared" si="45"/>
        <v>3</v>
      </c>
      <c r="AN224" s="14">
        <f t="shared" si="46"/>
        <v>3</v>
      </c>
      <c r="AO224" s="15"/>
      <c r="AP224" s="15"/>
      <c r="AQ224" s="15"/>
    </row>
    <row r="225" spans="1:43" ht="51" hidden="1" x14ac:dyDescent="0.2">
      <c r="A225" s="7">
        <v>224</v>
      </c>
      <c r="B225" s="19" t="s">
        <v>507</v>
      </c>
      <c r="C225" s="19" t="s">
        <v>508</v>
      </c>
      <c r="D225" s="8" t="s">
        <v>34</v>
      </c>
      <c r="E225" s="19" t="s">
        <v>269</v>
      </c>
      <c r="F225" s="8" t="s">
        <v>36</v>
      </c>
      <c r="G225" s="7" t="s">
        <v>59</v>
      </c>
      <c r="H225" s="9" t="s">
        <v>44</v>
      </c>
      <c r="I225" s="10"/>
      <c r="J225" s="10" t="s">
        <v>40</v>
      </c>
      <c r="K225" s="10" t="s">
        <v>40</v>
      </c>
      <c r="L225" s="10" t="s">
        <v>40</v>
      </c>
      <c r="M225">
        <v>0</v>
      </c>
      <c r="N225">
        <v>0</v>
      </c>
      <c r="O225">
        <v>0</v>
      </c>
      <c r="P225" s="10" t="s">
        <v>44</v>
      </c>
      <c r="Q225" s="10">
        <f t="array" ref="Q225">IFERROR(SUMPRODUCT((N225:P225&gt;0)*(N225:P225))/3, 0)</f>
        <v>0</v>
      </c>
      <c r="R225" s="10"/>
      <c r="S225" s="11" t="str">
        <f t="shared" si="42"/>
        <v/>
      </c>
      <c r="T225" s="7"/>
      <c r="U225" s="7"/>
      <c r="V225" s="7"/>
      <c r="W225" s="7"/>
      <c r="X225" s="7"/>
      <c r="Y225" s="7"/>
      <c r="Z225" s="15"/>
      <c r="AA225" s="15"/>
      <c r="AB225" s="11" t="str">
        <f t="shared" si="43"/>
        <v/>
      </c>
      <c r="AC225" s="11"/>
      <c r="AD225" s="11"/>
      <c r="AE225" s="11"/>
      <c r="AF225" s="11"/>
      <c r="AG225" s="11"/>
      <c r="AH225" s="11"/>
      <c r="AI225" s="11"/>
      <c r="AJ225" s="15"/>
      <c r="AK225" s="15"/>
      <c r="AL225" s="14">
        <f t="shared" si="44"/>
        <v>3</v>
      </c>
      <c r="AM225" s="11">
        <f t="shared" si="45"/>
        <v>3</v>
      </c>
      <c r="AN225" s="14">
        <f t="shared" si="46"/>
        <v>3</v>
      </c>
      <c r="AO225" s="15"/>
      <c r="AP225" s="15"/>
      <c r="AQ225" s="15"/>
    </row>
    <row r="226" spans="1:43" ht="51" hidden="1" x14ac:dyDescent="0.2">
      <c r="A226" s="7">
        <v>225</v>
      </c>
      <c r="B226" s="19" t="s">
        <v>509</v>
      </c>
      <c r="C226" s="19" t="s">
        <v>510</v>
      </c>
      <c r="D226" s="8" t="s">
        <v>34</v>
      </c>
      <c r="E226" s="19" t="s">
        <v>269</v>
      </c>
      <c r="F226" s="8" t="s">
        <v>36</v>
      </c>
      <c r="G226" s="7" t="s">
        <v>59</v>
      </c>
      <c r="H226" s="9" t="s">
        <v>44</v>
      </c>
      <c r="I226" s="10"/>
      <c r="J226" s="10" t="s">
        <v>40</v>
      </c>
      <c r="K226" s="10" t="s">
        <v>40</v>
      </c>
      <c r="L226" s="10" t="s">
        <v>40</v>
      </c>
      <c r="M226">
        <v>0</v>
      </c>
      <c r="N226">
        <v>0</v>
      </c>
      <c r="O226">
        <v>0</v>
      </c>
      <c r="P226" s="10" t="s">
        <v>44</v>
      </c>
      <c r="Q226" s="10">
        <f t="array" ref="Q226">IFERROR(SUMPRODUCT((N226:P226&gt;0)*(N226:P226))/3, 0)</f>
        <v>0</v>
      </c>
      <c r="R226" s="10"/>
      <c r="S226" s="11" t="str">
        <f t="shared" si="42"/>
        <v/>
      </c>
      <c r="T226" s="7"/>
      <c r="U226" s="7"/>
      <c r="V226" s="7"/>
      <c r="W226" s="7"/>
      <c r="X226" s="7"/>
      <c r="Y226" s="7"/>
      <c r="Z226" s="15"/>
      <c r="AA226" s="15"/>
      <c r="AB226" s="11" t="str">
        <f t="shared" si="43"/>
        <v/>
      </c>
      <c r="AC226" s="11"/>
      <c r="AD226" s="11"/>
      <c r="AE226" s="11"/>
      <c r="AF226" s="11"/>
      <c r="AG226" s="11"/>
      <c r="AH226" s="11"/>
      <c r="AI226" s="11"/>
      <c r="AJ226" s="15"/>
      <c r="AK226" s="15"/>
      <c r="AL226" s="14">
        <f t="shared" si="44"/>
        <v>3</v>
      </c>
      <c r="AM226" s="11">
        <f t="shared" si="45"/>
        <v>3</v>
      </c>
      <c r="AN226" s="14">
        <f t="shared" si="46"/>
        <v>3</v>
      </c>
      <c r="AO226" s="15"/>
      <c r="AP226" s="15"/>
      <c r="AQ226" s="15"/>
    </row>
    <row r="227" spans="1:43" ht="51" hidden="1" x14ac:dyDescent="0.2">
      <c r="A227" s="7">
        <v>226</v>
      </c>
      <c r="B227" s="19" t="s">
        <v>511</v>
      </c>
      <c r="C227" s="19" t="s">
        <v>512</v>
      </c>
      <c r="D227" s="8" t="s">
        <v>34</v>
      </c>
      <c r="E227" s="19" t="s">
        <v>269</v>
      </c>
      <c r="F227" s="8" t="s">
        <v>36</v>
      </c>
      <c r="G227" s="7" t="s">
        <v>59</v>
      </c>
      <c r="H227" s="9" t="s">
        <v>44</v>
      </c>
      <c r="I227" s="10"/>
      <c r="J227" s="10" t="s">
        <v>40</v>
      </c>
      <c r="K227" s="10" t="s">
        <v>40</v>
      </c>
      <c r="L227" s="10" t="s">
        <v>40</v>
      </c>
      <c r="M227">
        <v>0</v>
      </c>
      <c r="N227">
        <v>0</v>
      </c>
      <c r="O227">
        <v>0</v>
      </c>
      <c r="P227" s="10" t="s">
        <v>44</v>
      </c>
      <c r="Q227" s="10">
        <f t="array" ref="Q227">IFERROR(SUMPRODUCT((N227:P227&gt;0)*(N227:P227))/3, 0)</f>
        <v>0</v>
      </c>
      <c r="R227" s="10"/>
      <c r="S227" s="11" t="str">
        <f t="shared" si="42"/>
        <v/>
      </c>
      <c r="T227" s="7"/>
      <c r="U227" s="7"/>
      <c r="V227" s="7"/>
      <c r="W227" s="7"/>
      <c r="X227" s="7"/>
      <c r="Y227" s="7"/>
      <c r="Z227" s="15"/>
      <c r="AA227" s="15"/>
      <c r="AB227" s="11" t="str">
        <f t="shared" si="43"/>
        <v/>
      </c>
      <c r="AC227" s="11"/>
      <c r="AD227" s="11"/>
      <c r="AE227" s="11"/>
      <c r="AF227" s="11"/>
      <c r="AG227" s="11"/>
      <c r="AH227" s="11"/>
      <c r="AI227" s="11"/>
      <c r="AJ227" s="15"/>
      <c r="AK227" s="15"/>
      <c r="AL227" s="14">
        <f t="shared" si="44"/>
        <v>3</v>
      </c>
      <c r="AM227" s="11">
        <f t="shared" si="45"/>
        <v>3</v>
      </c>
      <c r="AN227" s="14">
        <f t="shared" si="46"/>
        <v>3</v>
      </c>
      <c r="AO227" s="15"/>
      <c r="AP227" s="15"/>
      <c r="AQ227" s="15"/>
    </row>
    <row r="228" spans="1:43" ht="51" hidden="1" x14ac:dyDescent="0.2">
      <c r="A228" s="7">
        <v>227</v>
      </c>
      <c r="B228" s="19" t="s">
        <v>513</v>
      </c>
      <c r="C228" s="19" t="s">
        <v>514</v>
      </c>
      <c r="D228" s="8" t="s">
        <v>34</v>
      </c>
      <c r="E228" s="19" t="s">
        <v>269</v>
      </c>
      <c r="F228" s="8" t="s">
        <v>36</v>
      </c>
      <c r="G228" s="7" t="s">
        <v>59</v>
      </c>
      <c r="H228" s="9" t="s">
        <v>44</v>
      </c>
      <c r="I228" s="10"/>
      <c r="J228" s="10" t="s">
        <v>40</v>
      </c>
      <c r="K228" s="10" t="s">
        <v>40</v>
      </c>
      <c r="L228" s="10" t="s">
        <v>40</v>
      </c>
      <c r="M228">
        <v>0</v>
      </c>
      <c r="N228">
        <v>0</v>
      </c>
      <c r="O228">
        <v>0</v>
      </c>
      <c r="P228" s="10" t="s">
        <v>44</v>
      </c>
      <c r="Q228" s="10">
        <f t="array" ref="Q228">IFERROR(SUMPRODUCT((N228:P228&gt;0)*(N228:P228))/3, 0)</f>
        <v>0</v>
      </c>
      <c r="R228" s="10"/>
      <c r="S228" s="11" t="str">
        <f t="shared" si="42"/>
        <v/>
      </c>
      <c r="T228" s="7"/>
      <c r="U228" s="7"/>
      <c r="V228" s="7"/>
      <c r="W228" s="7"/>
      <c r="X228" s="7"/>
      <c r="Y228" s="7"/>
      <c r="Z228" s="15"/>
      <c r="AA228" s="15"/>
      <c r="AB228" s="11" t="str">
        <f t="shared" si="43"/>
        <v/>
      </c>
      <c r="AC228" s="11"/>
      <c r="AD228" s="11"/>
      <c r="AE228" s="11"/>
      <c r="AF228" s="11"/>
      <c r="AG228" s="11"/>
      <c r="AH228" s="11"/>
      <c r="AI228" s="11"/>
      <c r="AJ228" s="15"/>
      <c r="AK228" s="15"/>
      <c r="AL228" s="14">
        <f t="shared" si="44"/>
        <v>3</v>
      </c>
      <c r="AM228" s="11">
        <f t="shared" si="45"/>
        <v>3</v>
      </c>
      <c r="AN228" s="14">
        <f t="shared" si="46"/>
        <v>3</v>
      </c>
      <c r="AO228" s="15"/>
      <c r="AP228" s="15"/>
      <c r="AQ228" s="15"/>
    </row>
    <row r="229" spans="1:43" ht="51" hidden="1" x14ac:dyDescent="0.2">
      <c r="A229" s="7">
        <v>228</v>
      </c>
      <c r="B229" s="19" t="s">
        <v>515</v>
      </c>
      <c r="C229" s="19" t="s">
        <v>516</v>
      </c>
      <c r="D229" s="8" t="s">
        <v>34</v>
      </c>
      <c r="E229" s="19" t="s">
        <v>269</v>
      </c>
      <c r="F229" s="8" t="s">
        <v>36</v>
      </c>
      <c r="G229" s="7" t="s">
        <v>59</v>
      </c>
      <c r="H229" s="9" t="s">
        <v>44</v>
      </c>
      <c r="I229" s="10"/>
      <c r="J229" s="10" t="s">
        <v>40</v>
      </c>
      <c r="K229" s="10" t="s">
        <v>40</v>
      </c>
      <c r="L229" s="10" t="s">
        <v>40</v>
      </c>
      <c r="M229">
        <v>0</v>
      </c>
      <c r="N229">
        <v>0</v>
      </c>
      <c r="O229">
        <v>0</v>
      </c>
      <c r="P229" s="10" t="s">
        <v>44</v>
      </c>
      <c r="Q229" s="10">
        <f t="array" ref="Q229">IFERROR(SUMPRODUCT((N229:P229&gt;0)*(N229:P229))/3, 0)</f>
        <v>0</v>
      </c>
      <c r="R229" s="10"/>
      <c r="S229" s="11" t="str">
        <f t="shared" si="42"/>
        <v/>
      </c>
      <c r="T229" s="7"/>
      <c r="U229" s="7"/>
      <c r="V229" s="7"/>
      <c r="W229" s="7"/>
      <c r="X229" s="7"/>
      <c r="Y229" s="7"/>
      <c r="Z229" s="15"/>
      <c r="AA229" s="15"/>
      <c r="AB229" s="11" t="str">
        <f t="shared" si="43"/>
        <v/>
      </c>
      <c r="AC229" s="11"/>
      <c r="AD229" s="11"/>
      <c r="AE229" s="11"/>
      <c r="AF229" s="11"/>
      <c r="AG229" s="11"/>
      <c r="AH229" s="11"/>
      <c r="AI229" s="11"/>
      <c r="AJ229" s="15"/>
      <c r="AK229" s="15"/>
      <c r="AL229" s="14">
        <f t="shared" si="44"/>
        <v>3</v>
      </c>
      <c r="AM229" s="11">
        <f t="shared" si="45"/>
        <v>3</v>
      </c>
      <c r="AN229" s="14">
        <f t="shared" si="46"/>
        <v>3</v>
      </c>
      <c r="AO229" s="15"/>
      <c r="AP229" s="15"/>
      <c r="AQ229" s="15"/>
    </row>
    <row r="230" spans="1:43" ht="51" hidden="1" x14ac:dyDescent="0.2">
      <c r="A230" s="7">
        <v>229</v>
      </c>
      <c r="B230" s="19" t="s">
        <v>517</v>
      </c>
      <c r="C230" s="19" t="s">
        <v>518</v>
      </c>
      <c r="D230" s="8" t="s">
        <v>34</v>
      </c>
      <c r="E230" s="19" t="s">
        <v>269</v>
      </c>
      <c r="F230" s="8" t="s">
        <v>36</v>
      </c>
      <c r="G230" s="7" t="s">
        <v>59</v>
      </c>
      <c r="H230" s="9" t="s">
        <v>44</v>
      </c>
      <c r="I230" s="10"/>
      <c r="J230" s="10" t="s">
        <v>40</v>
      </c>
      <c r="K230" s="10" t="s">
        <v>40</v>
      </c>
      <c r="L230" s="10" t="s">
        <v>40</v>
      </c>
      <c r="M230">
        <v>0</v>
      </c>
      <c r="N230">
        <v>0</v>
      </c>
      <c r="O230">
        <v>0</v>
      </c>
      <c r="P230" s="10" t="s">
        <v>44</v>
      </c>
      <c r="Q230" s="10">
        <f t="array" ref="Q230">IFERROR(SUMPRODUCT((N230:P230&gt;0)*(N230:P230))/3, 0)</f>
        <v>0</v>
      </c>
      <c r="R230" s="10"/>
      <c r="S230" s="11" t="str">
        <f t="shared" si="42"/>
        <v/>
      </c>
      <c r="T230" s="7"/>
      <c r="U230" s="7"/>
      <c r="V230" s="7"/>
      <c r="W230" s="7"/>
      <c r="X230" s="7"/>
      <c r="Y230" s="7"/>
      <c r="Z230" s="15"/>
      <c r="AA230" s="15"/>
      <c r="AB230" s="11" t="str">
        <f t="shared" si="43"/>
        <v/>
      </c>
      <c r="AC230" s="11"/>
      <c r="AD230" s="11"/>
      <c r="AE230" s="11"/>
      <c r="AF230" s="11"/>
      <c r="AG230" s="11"/>
      <c r="AH230" s="11"/>
      <c r="AI230" s="11"/>
      <c r="AJ230" s="15"/>
      <c r="AK230" s="15"/>
      <c r="AL230" s="14">
        <f t="shared" si="44"/>
        <v>3</v>
      </c>
      <c r="AM230" s="11">
        <f t="shared" si="45"/>
        <v>3</v>
      </c>
      <c r="AN230" s="14">
        <f t="shared" si="46"/>
        <v>3</v>
      </c>
      <c r="AO230" s="15"/>
      <c r="AP230" s="15"/>
      <c r="AQ230" s="15"/>
    </row>
    <row r="231" spans="1:43" ht="51" hidden="1" x14ac:dyDescent="0.2">
      <c r="A231" s="7">
        <v>230</v>
      </c>
      <c r="B231" s="19" t="s">
        <v>519</v>
      </c>
      <c r="C231" s="19" t="s">
        <v>520</v>
      </c>
      <c r="D231" s="8" t="s">
        <v>34</v>
      </c>
      <c r="E231" s="19" t="s">
        <v>269</v>
      </c>
      <c r="F231" s="8" t="s">
        <v>36</v>
      </c>
      <c r="G231" s="7" t="s">
        <v>59</v>
      </c>
      <c r="H231" s="9" t="s">
        <v>44</v>
      </c>
      <c r="I231" s="10"/>
      <c r="J231" s="10" t="s">
        <v>40</v>
      </c>
      <c r="K231" s="10" t="s">
        <v>40</v>
      </c>
      <c r="L231" s="10" t="s">
        <v>40</v>
      </c>
      <c r="M231">
        <v>0</v>
      </c>
      <c r="N231">
        <v>0</v>
      </c>
      <c r="O231">
        <v>0</v>
      </c>
      <c r="P231" s="10" t="s">
        <v>44</v>
      </c>
      <c r="Q231" s="10">
        <f t="array" ref="Q231">IFERROR(SUMPRODUCT((N231:P231&gt;0)*(N231:P231))/3, 0)</f>
        <v>0</v>
      </c>
      <c r="R231" s="10"/>
      <c r="S231" s="11" t="str">
        <f t="shared" si="42"/>
        <v/>
      </c>
      <c r="T231" s="7"/>
      <c r="U231" s="7"/>
      <c r="V231" s="7"/>
      <c r="W231" s="7"/>
      <c r="X231" s="7"/>
      <c r="Y231" s="7"/>
      <c r="Z231" s="15"/>
      <c r="AA231" s="15"/>
      <c r="AB231" s="11" t="str">
        <f t="shared" si="43"/>
        <v/>
      </c>
      <c r="AC231" s="11"/>
      <c r="AD231" s="11"/>
      <c r="AE231" s="11"/>
      <c r="AF231" s="11"/>
      <c r="AG231" s="11"/>
      <c r="AH231" s="11"/>
      <c r="AI231" s="11"/>
      <c r="AJ231" s="15"/>
      <c r="AK231" s="15"/>
      <c r="AL231" s="14">
        <f t="shared" si="44"/>
        <v>3</v>
      </c>
      <c r="AM231" s="11">
        <f t="shared" si="45"/>
        <v>3</v>
      </c>
      <c r="AN231" s="14">
        <f t="shared" si="46"/>
        <v>3</v>
      </c>
      <c r="AO231" s="15"/>
      <c r="AP231" s="15"/>
      <c r="AQ231" s="15"/>
    </row>
    <row r="232" spans="1:43" ht="51" hidden="1" x14ac:dyDescent="0.2">
      <c r="A232" s="7">
        <v>231</v>
      </c>
      <c r="B232" s="19" t="s">
        <v>521</v>
      </c>
      <c r="C232" s="19" t="s">
        <v>522</v>
      </c>
      <c r="D232" s="8" t="s">
        <v>34</v>
      </c>
      <c r="E232" s="19" t="s">
        <v>269</v>
      </c>
      <c r="F232" s="8" t="s">
        <v>36</v>
      </c>
      <c r="G232" s="7" t="s">
        <v>59</v>
      </c>
      <c r="H232" s="9" t="s">
        <v>44</v>
      </c>
      <c r="I232" s="10"/>
      <c r="J232" s="10" t="s">
        <v>40</v>
      </c>
      <c r="K232" s="10" t="s">
        <v>40</v>
      </c>
      <c r="L232" s="10" t="s">
        <v>40</v>
      </c>
      <c r="M232">
        <v>0</v>
      </c>
      <c r="N232">
        <v>0</v>
      </c>
      <c r="O232">
        <v>0</v>
      </c>
      <c r="P232" s="10" t="s">
        <v>44</v>
      </c>
      <c r="Q232" s="10">
        <f t="array" ref="Q232">IFERROR(SUMPRODUCT((N232:P232&gt;0)*(N232:P232))/3, 0)</f>
        <v>0</v>
      </c>
      <c r="R232" s="10"/>
      <c r="S232" s="11" t="str">
        <f t="shared" si="42"/>
        <v/>
      </c>
      <c r="T232" s="7"/>
      <c r="U232" s="7"/>
      <c r="V232" s="7"/>
      <c r="W232" s="7"/>
      <c r="X232" s="7"/>
      <c r="Y232" s="7"/>
      <c r="Z232" s="15"/>
      <c r="AA232" s="15"/>
      <c r="AB232" s="11" t="str">
        <f t="shared" si="43"/>
        <v/>
      </c>
      <c r="AC232" s="11"/>
      <c r="AD232" s="11"/>
      <c r="AE232" s="11"/>
      <c r="AF232" s="11"/>
      <c r="AG232" s="11"/>
      <c r="AH232" s="11"/>
      <c r="AI232" s="11"/>
      <c r="AJ232" s="15"/>
      <c r="AK232" s="15"/>
      <c r="AL232" s="14">
        <f t="shared" si="44"/>
        <v>3</v>
      </c>
      <c r="AM232" s="11">
        <f t="shared" si="45"/>
        <v>3</v>
      </c>
      <c r="AN232" s="14">
        <f t="shared" si="46"/>
        <v>3</v>
      </c>
      <c r="AO232" s="15"/>
      <c r="AP232" s="15"/>
      <c r="AQ232" s="15"/>
    </row>
    <row r="233" spans="1:43" ht="51" hidden="1" x14ac:dyDescent="0.2">
      <c r="A233" s="7">
        <v>232</v>
      </c>
      <c r="B233" s="19" t="s">
        <v>523</v>
      </c>
      <c r="C233" s="19" t="s">
        <v>524</v>
      </c>
      <c r="D233" s="8" t="s">
        <v>34</v>
      </c>
      <c r="E233" s="19" t="s">
        <v>269</v>
      </c>
      <c r="F233" s="8" t="s">
        <v>36</v>
      </c>
      <c r="G233" s="7" t="s">
        <v>59</v>
      </c>
      <c r="H233" s="9" t="s">
        <v>44</v>
      </c>
      <c r="I233" s="10"/>
      <c r="J233" s="10" t="s">
        <v>40</v>
      </c>
      <c r="K233" s="10" t="s">
        <v>40</v>
      </c>
      <c r="L233" s="10" t="s">
        <v>40</v>
      </c>
      <c r="M233">
        <v>0</v>
      </c>
      <c r="N233">
        <v>0</v>
      </c>
      <c r="O233">
        <v>0</v>
      </c>
      <c r="P233" s="10" t="s">
        <v>44</v>
      </c>
      <c r="Q233" s="10">
        <f t="array" ref="Q233">IFERROR(SUMPRODUCT((N233:P233&gt;0)*(N233:P233))/3, 0)</f>
        <v>0</v>
      </c>
      <c r="R233" s="10"/>
      <c r="S233" s="11" t="str">
        <f t="shared" si="42"/>
        <v/>
      </c>
      <c r="T233" s="7"/>
      <c r="U233" s="7"/>
      <c r="V233" s="7"/>
      <c r="W233" s="7"/>
      <c r="X233" s="7"/>
      <c r="Y233" s="7"/>
      <c r="Z233" s="15"/>
      <c r="AA233" s="15"/>
      <c r="AB233" s="11" t="str">
        <f t="shared" si="43"/>
        <v/>
      </c>
      <c r="AC233" s="11"/>
      <c r="AD233" s="11"/>
      <c r="AE233" s="11"/>
      <c r="AF233" s="11"/>
      <c r="AG233" s="11"/>
      <c r="AH233" s="11"/>
      <c r="AI233" s="11"/>
      <c r="AJ233" s="15"/>
      <c r="AK233" s="15"/>
      <c r="AL233" s="14">
        <f t="shared" si="44"/>
        <v>3</v>
      </c>
      <c r="AM233" s="11">
        <f t="shared" si="45"/>
        <v>3</v>
      </c>
      <c r="AN233" s="14">
        <f t="shared" si="46"/>
        <v>3</v>
      </c>
      <c r="AO233" s="15"/>
      <c r="AP233" s="15"/>
      <c r="AQ233" s="15"/>
    </row>
    <row r="234" spans="1:43" ht="51" hidden="1" x14ac:dyDescent="0.2">
      <c r="A234" s="7">
        <v>233</v>
      </c>
      <c r="B234" s="19" t="s">
        <v>525</v>
      </c>
      <c r="C234" s="19" t="s">
        <v>526</v>
      </c>
      <c r="D234" s="8" t="s">
        <v>34</v>
      </c>
      <c r="E234" s="19" t="s">
        <v>269</v>
      </c>
      <c r="F234" s="8" t="s">
        <v>36</v>
      </c>
      <c r="G234" s="7" t="s">
        <v>59</v>
      </c>
      <c r="H234" s="9" t="s">
        <v>44</v>
      </c>
      <c r="I234" s="10"/>
      <c r="J234" s="10" t="s">
        <v>40</v>
      </c>
      <c r="K234" s="10" t="s">
        <v>40</v>
      </c>
      <c r="L234" s="10" t="s">
        <v>40</v>
      </c>
      <c r="M234">
        <v>0</v>
      </c>
      <c r="N234">
        <v>0</v>
      </c>
      <c r="O234">
        <v>0</v>
      </c>
      <c r="P234" s="10" t="s">
        <v>44</v>
      </c>
      <c r="Q234" s="10">
        <f t="array" ref="Q234">IFERROR(SUMPRODUCT((N234:P234&gt;0)*(N234:P234))/3, 0)</f>
        <v>0</v>
      </c>
      <c r="R234" s="10"/>
      <c r="S234" s="11" t="str">
        <f t="shared" si="42"/>
        <v/>
      </c>
      <c r="T234" s="7"/>
      <c r="U234" s="7"/>
      <c r="V234" s="7"/>
      <c r="W234" s="7"/>
      <c r="X234" s="7"/>
      <c r="Y234" s="7"/>
      <c r="Z234" s="15"/>
      <c r="AA234" s="15"/>
      <c r="AB234" s="11" t="str">
        <f t="shared" si="43"/>
        <v/>
      </c>
      <c r="AC234" s="11"/>
      <c r="AD234" s="11"/>
      <c r="AE234" s="11"/>
      <c r="AF234" s="11"/>
      <c r="AG234" s="11"/>
      <c r="AH234" s="11"/>
      <c r="AI234" s="11"/>
      <c r="AJ234" s="15"/>
      <c r="AK234" s="15"/>
      <c r="AL234" s="14">
        <f t="shared" si="44"/>
        <v>3</v>
      </c>
      <c r="AM234" s="11">
        <f t="shared" si="45"/>
        <v>3</v>
      </c>
      <c r="AN234" s="14">
        <f t="shared" si="46"/>
        <v>3</v>
      </c>
      <c r="AO234" s="15"/>
      <c r="AP234" s="15"/>
      <c r="AQ234" s="15"/>
    </row>
    <row r="235" spans="1:43" ht="51" hidden="1" x14ac:dyDescent="0.2">
      <c r="A235" s="7">
        <v>234</v>
      </c>
      <c r="B235" s="19" t="s">
        <v>527</v>
      </c>
      <c r="C235" s="19" t="s">
        <v>528</v>
      </c>
      <c r="D235" s="8" t="s">
        <v>34</v>
      </c>
      <c r="E235" s="19" t="s">
        <v>269</v>
      </c>
      <c r="F235" s="8" t="s">
        <v>36</v>
      </c>
      <c r="G235" s="7" t="s">
        <v>59</v>
      </c>
      <c r="H235" s="9" t="s">
        <v>44</v>
      </c>
      <c r="I235" s="10"/>
      <c r="J235" s="10" t="s">
        <v>40</v>
      </c>
      <c r="K235" s="10" t="s">
        <v>40</v>
      </c>
      <c r="L235" s="10" t="s">
        <v>40</v>
      </c>
      <c r="M235">
        <v>0</v>
      </c>
      <c r="N235">
        <v>0</v>
      </c>
      <c r="O235">
        <v>0</v>
      </c>
      <c r="P235" s="10" t="s">
        <v>44</v>
      </c>
      <c r="Q235" s="10">
        <f t="array" ref="Q235">IFERROR(SUMPRODUCT((N235:P235&gt;0)*(N235:P235))/3, 0)</f>
        <v>0</v>
      </c>
      <c r="R235" s="10"/>
      <c r="S235" s="11" t="str">
        <f t="shared" si="42"/>
        <v/>
      </c>
      <c r="T235" s="7"/>
      <c r="U235" s="7"/>
      <c r="V235" s="7"/>
      <c r="W235" s="7"/>
      <c r="X235" s="7"/>
      <c r="Y235" s="7"/>
      <c r="Z235" s="15"/>
      <c r="AA235" s="15"/>
      <c r="AB235" s="11" t="str">
        <f t="shared" si="43"/>
        <v/>
      </c>
      <c r="AC235" s="11"/>
      <c r="AD235" s="11"/>
      <c r="AE235" s="11"/>
      <c r="AF235" s="11"/>
      <c r="AG235" s="11"/>
      <c r="AH235" s="11"/>
      <c r="AI235" s="11"/>
      <c r="AJ235" s="15"/>
      <c r="AK235" s="15"/>
      <c r="AL235" s="14">
        <f t="shared" si="44"/>
        <v>3</v>
      </c>
      <c r="AM235" s="11">
        <f t="shared" si="45"/>
        <v>3</v>
      </c>
      <c r="AN235" s="14">
        <f t="shared" si="46"/>
        <v>3</v>
      </c>
      <c r="AO235" s="15"/>
      <c r="AP235" s="15"/>
      <c r="AQ235" s="15"/>
    </row>
    <row r="236" spans="1:43" ht="51" hidden="1" x14ac:dyDescent="0.2">
      <c r="A236" s="7">
        <v>235</v>
      </c>
      <c r="B236" s="19" t="s">
        <v>529</v>
      </c>
      <c r="C236" s="19" t="s">
        <v>530</v>
      </c>
      <c r="D236" s="8" t="s">
        <v>34</v>
      </c>
      <c r="E236" s="19" t="s">
        <v>269</v>
      </c>
      <c r="F236" s="8" t="s">
        <v>36</v>
      </c>
      <c r="G236" s="7" t="s">
        <v>59</v>
      </c>
      <c r="H236" s="9" t="s">
        <v>44</v>
      </c>
      <c r="I236" s="10"/>
      <c r="J236" s="10" t="s">
        <v>40</v>
      </c>
      <c r="K236" s="10" t="s">
        <v>40</v>
      </c>
      <c r="L236" s="10" t="s">
        <v>40</v>
      </c>
      <c r="M236">
        <v>0</v>
      </c>
      <c r="N236">
        <v>0</v>
      </c>
      <c r="O236">
        <v>0</v>
      </c>
      <c r="P236" s="10" t="s">
        <v>44</v>
      </c>
      <c r="Q236" s="10">
        <f t="array" ref="Q236">IFERROR(SUMPRODUCT((N236:P236&gt;0)*(N236:P236))/3, 0)</f>
        <v>0</v>
      </c>
      <c r="R236" s="10"/>
      <c r="S236" s="11" t="str">
        <f t="shared" si="42"/>
        <v/>
      </c>
      <c r="T236" s="7"/>
      <c r="U236" s="7"/>
      <c r="V236" s="7"/>
      <c r="W236" s="7"/>
      <c r="X236" s="7"/>
      <c r="Y236" s="7"/>
      <c r="Z236" s="15"/>
      <c r="AA236" s="15"/>
      <c r="AB236" s="11" t="str">
        <f t="shared" si="43"/>
        <v/>
      </c>
      <c r="AC236" s="11"/>
      <c r="AD236" s="11"/>
      <c r="AE236" s="11"/>
      <c r="AF236" s="11"/>
      <c r="AG236" s="11"/>
      <c r="AH236" s="11"/>
      <c r="AI236" s="11"/>
      <c r="AJ236" s="15"/>
      <c r="AK236" s="15"/>
      <c r="AL236" s="14">
        <f t="shared" si="44"/>
        <v>3</v>
      </c>
      <c r="AM236" s="11">
        <f t="shared" si="45"/>
        <v>3</v>
      </c>
      <c r="AN236" s="14">
        <f t="shared" si="46"/>
        <v>3</v>
      </c>
      <c r="AO236" s="15"/>
      <c r="AP236" s="15"/>
      <c r="AQ236" s="15"/>
    </row>
    <row r="237" spans="1:43" ht="51" hidden="1" x14ac:dyDescent="0.2">
      <c r="A237" s="7">
        <v>236</v>
      </c>
      <c r="B237" s="19" t="s">
        <v>531</v>
      </c>
      <c r="C237" s="19" t="s">
        <v>532</v>
      </c>
      <c r="D237" s="8" t="s">
        <v>34</v>
      </c>
      <c r="E237" s="19" t="s">
        <v>269</v>
      </c>
      <c r="F237" s="8" t="s">
        <v>36</v>
      </c>
      <c r="G237" s="7" t="s">
        <v>59</v>
      </c>
      <c r="H237" s="9" t="s">
        <v>44</v>
      </c>
      <c r="I237" s="10"/>
      <c r="J237" s="10" t="s">
        <v>40</v>
      </c>
      <c r="K237" s="10" t="s">
        <v>40</v>
      </c>
      <c r="L237" s="10" t="s">
        <v>40</v>
      </c>
      <c r="M237">
        <v>0</v>
      </c>
      <c r="N237">
        <v>0</v>
      </c>
      <c r="O237">
        <v>0</v>
      </c>
      <c r="P237" s="10" t="s">
        <v>44</v>
      </c>
      <c r="Q237" s="10">
        <f t="array" ref="Q237">IFERROR(SUMPRODUCT((N237:P237&gt;0)*(N237:P237))/3, 0)</f>
        <v>0</v>
      </c>
      <c r="R237" s="10"/>
      <c r="S237" s="11" t="str">
        <f t="shared" si="42"/>
        <v/>
      </c>
      <c r="T237" s="7"/>
      <c r="U237" s="7"/>
      <c r="V237" s="7"/>
      <c r="W237" s="7"/>
      <c r="X237" s="7"/>
      <c r="Y237" s="7"/>
      <c r="Z237" s="15"/>
      <c r="AA237" s="15"/>
      <c r="AB237" s="11" t="str">
        <f t="shared" si="43"/>
        <v/>
      </c>
      <c r="AC237" s="11"/>
      <c r="AD237" s="11"/>
      <c r="AE237" s="11"/>
      <c r="AF237" s="11"/>
      <c r="AG237" s="11"/>
      <c r="AH237" s="11"/>
      <c r="AI237" s="11"/>
      <c r="AJ237" s="15"/>
      <c r="AK237" s="15"/>
      <c r="AL237" s="14">
        <f t="shared" si="44"/>
        <v>3</v>
      </c>
      <c r="AM237" s="11">
        <f t="shared" si="45"/>
        <v>3</v>
      </c>
      <c r="AN237" s="14">
        <f t="shared" si="46"/>
        <v>3</v>
      </c>
      <c r="AO237" s="15"/>
      <c r="AP237" s="15"/>
      <c r="AQ237" s="15"/>
    </row>
    <row r="238" spans="1:43" ht="51" hidden="1" x14ac:dyDescent="0.2">
      <c r="A238" s="7">
        <v>237</v>
      </c>
      <c r="B238" s="19" t="s">
        <v>533</v>
      </c>
      <c r="C238" s="19" t="s">
        <v>534</v>
      </c>
      <c r="D238" s="8" t="s">
        <v>34</v>
      </c>
      <c r="E238" s="19" t="s">
        <v>269</v>
      </c>
      <c r="F238" s="8" t="s">
        <v>36</v>
      </c>
      <c r="G238" s="7" t="s">
        <v>59</v>
      </c>
      <c r="H238" s="9" t="s">
        <v>44</v>
      </c>
      <c r="I238" s="10"/>
      <c r="J238" s="10" t="s">
        <v>40</v>
      </c>
      <c r="K238" s="10" t="s">
        <v>40</v>
      </c>
      <c r="L238" s="10" t="s">
        <v>40</v>
      </c>
      <c r="M238">
        <v>0</v>
      </c>
      <c r="N238">
        <v>0</v>
      </c>
      <c r="O238">
        <v>0</v>
      </c>
      <c r="P238" s="10" t="s">
        <v>44</v>
      </c>
      <c r="Q238" s="10">
        <f t="array" ref="Q238">IFERROR(SUMPRODUCT((N238:P238&gt;0)*(N238:P238))/3, 0)</f>
        <v>0</v>
      </c>
      <c r="R238" s="10"/>
      <c r="S238" s="11" t="str">
        <f t="shared" si="42"/>
        <v/>
      </c>
      <c r="T238" s="7"/>
      <c r="U238" s="7"/>
      <c r="V238" s="7"/>
      <c r="W238" s="7"/>
      <c r="X238" s="7"/>
      <c r="Y238" s="7"/>
      <c r="Z238" s="15"/>
      <c r="AA238" s="15"/>
      <c r="AB238" s="11" t="str">
        <f t="shared" si="43"/>
        <v/>
      </c>
      <c r="AC238" s="11"/>
      <c r="AD238" s="11"/>
      <c r="AE238" s="11"/>
      <c r="AF238" s="11"/>
      <c r="AG238" s="11"/>
      <c r="AH238" s="11"/>
      <c r="AI238" s="11"/>
      <c r="AJ238" s="15"/>
      <c r="AK238" s="15"/>
      <c r="AL238" s="14">
        <f t="shared" si="44"/>
        <v>3</v>
      </c>
      <c r="AM238" s="11">
        <f t="shared" si="45"/>
        <v>3</v>
      </c>
      <c r="AN238" s="14">
        <f t="shared" si="46"/>
        <v>3</v>
      </c>
      <c r="AO238" s="15"/>
      <c r="AP238" s="15"/>
      <c r="AQ238" s="15"/>
    </row>
    <row r="239" spans="1:43" ht="51" hidden="1" x14ac:dyDescent="0.2">
      <c r="A239" s="7">
        <v>238</v>
      </c>
      <c r="B239" s="19" t="s">
        <v>535</v>
      </c>
      <c r="C239" s="19" t="s">
        <v>536</v>
      </c>
      <c r="D239" s="8" t="s">
        <v>34</v>
      </c>
      <c r="E239" s="19" t="s">
        <v>269</v>
      </c>
      <c r="F239" s="8" t="s">
        <v>36</v>
      </c>
      <c r="G239" s="7" t="s">
        <v>59</v>
      </c>
      <c r="H239" s="9" t="s">
        <v>44</v>
      </c>
      <c r="I239" s="10"/>
      <c r="J239" s="10" t="s">
        <v>40</v>
      </c>
      <c r="K239" s="10" t="s">
        <v>40</v>
      </c>
      <c r="L239" s="10" t="s">
        <v>40</v>
      </c>
      <c r="M239">
        <v>0</v>
      </c>
      <c r="N239">
        <v>0</v>
      </c>
      <c r="O239">
        <v>0</v>
      </c>
      <c r="P239" s="10" t="s">
        <v>44</v>
      </c>
      <c r="Q239" s="10">
        <f t="array" ref="Q239">IFERROR(SUMPRODUCT((N239:P239&gt;0)*(N239:P239))/3, 0)</f>
        <v>0</v>
      </c>
      <c r="R239" s="10"/>
      <c r="S239" s="11" t="str">
        <f t="shared" si="42"/>
        <v/>
      </c>
      <c r="T239" s="7"/>
      <c r="U239" s="7"/>
      <c r="V239" s="7"/>
      <c r="W239" s="7"/>
      <c r="X239" s="7"/>
      <c r="Y239" s="7"/>
      <c r="Z239" s="15"/>
      <c r="AA239" s="15"/>
      <c r="AB239" s="11" t="str">
        <f t="shared" si="43"/>
        <v/>
      </c>
      <c r="AC239" s="11"/>
      <c r="AD239" s="11"/>
      <c r="AE239" s="11"/>
      <c r="AF239" s="11"/>
      <c r="AG239" s="11"/>
      <c r="AH239" s="11"/>
      <c r="AI239" s="11"/>
      <c r="AJ239" s="15"/>
      <c r="AK239" s="15"/>
      <c r="AL239" s="14">
        <f t="shared" si="44"/>
        <v>3</v>
      </c>
      <c r="AM239" s="11">
        <f t="shared" si="45"/>
        <v>3</v>
      </c>
      <c r="AN239" s="14">
        <f t="shared" si="46"/>
        <v>3</v>
      </c>
      <c r="AO239" s="15"/>
      <c r="AP239" s="15"/>
      <c r="AQ239" s="15"/>
    </row>
    <row r="240" spans="1:43" ht="51" hidden="1" x14ac:dyDescent="0.2">
      <c r="A240" s="7">
        <v>239</v>
      </c>
      <c r="B240" s="19" t="s">
        <v>537</v>
      </c>
      <c r="C240" s="19" t="s">
        <v>538</v>
      </c>
      <c r="D240" s="8" t="s">
        <v>34</v>
      </c>
      <c r="E240" s="19" t="s">
        <v>269</v>
      </c>
      <c r="F240" s="8" t="s">
        <v>36</v>
      </c>
      <c r="G240" s="7" t="s">
        <v>59</v>
      </c>
      <c r="H240" s="9" t="s">
        <v>44</v>
      </c>
      <c r="I240" s="10"/>
      <c r="J240" s="10" t="s">
        <v>40</v>
      </c>
      <c r="K240" s="10" t="s">
        <v>40</v>
      </c>
      <c r="L240" s="10" t="s">
        <v>40</v>
      </c>
      <c r="M240">
        <v>0</v>
      </c>
      <c r="N240">
        <v>0</v>
      </c>
      <c r="O240">
        <v>0</v>
      </c>
      <c r="P240" s="10" t="s">
        <v>44</v>
      </c>
      <c r="Q240" s="10">
        <f t="array" ref="Q240">IFERROR(SUMPRODUCT((N240:P240&gt;0)*(N240:P240))/3, 0)</f>
        <v>0</v>
      </c>
      <c r="R240" s="10"/>
      <c r="S240" s="11" t="str">
        <f t="shared" si="42"/>
        <v/>
      </c>
      <c r="T240" s="7"/>
      <c r="U240" s="7"/>
      <c r="V240" s="7"/>
      <c r="W240" s="7"/>
      <c r="X240" s="7"/>
      <c r="Y240" s="7"/>
      <c r="Z240" s="15"/>
      <c r="AA240" s="15"/>
      <c r="AB240" s="11" t="str">
        <f t="shared" si="43"/>
        <v/>
      </c>
      <c r="AC240" s="11"/>
      <c r="AD240" s="11"/>
      <c r="AE240" s="11"/>
      <c r="AF240" s="11"/>
      <c r="AG240" s="11"/>
      <c r="AH240" s="11"/>
      <c r="AI240" s="11"/>
      <c r="AJ240" s="15"/>
      <c r="AK240" s="15"/>
      <c r="AL240" s="14">
        <f t="shared" si="44"/>
        <v>3</v>
      </c>
      <c r="AM240" s="11">
        <f t="shared" si="45"/>
        <v>3</v>
      </c>
      <c r="AN240" s="14">
        <f t="shared" si="46"/>
        <v>3</v>
      </c>
      <c r="AO240" s="15"/>
      <c r="AP240" s="15"/>
      <c r="AQ240" s="15"/>
    </row>
    <row r="241" spans="1:43" ht="51" hidden="1" x14ac:dyDescent="0.2">
      <c r="A241" s="7">
        <v>240</v>
      </c>
      <c r="B241" s="19" t="s">
        <v>539</v>
      </c>
      <c r="C241" s="19" t="s">
        <v>540</v>
      </c>
      <c r="D241" s="8" t="s">
        <v>34</v>
      </c>
      <c r="E241" s="19" t="s">
        <v>269</v>
      </c>
      <c r="F241" s="8" t="s">
        <v>36</v>
      </c>
      <c r="G241" s="7" t="s">
        <v>59</v>
      </c>
      <c r="H241" s="9" t="s">
        <v>44</v>
      </c>
      <c r="I241" s="10"/>
      <c r="J241" s="10" t="s">
        <v>40</v>
      </c>
      <c r="K241" s="10" t="s">
        <v>40</v>
      </c>
      <c r="L241" s="10" t="s">
        <v>40</v>
      </c>
      <c r="M241">
        <v>0</v>
      </c>
      <c r="N241">
        <v>0</v>
      </c>
      <c r="O241">
        <v>0</v>
      </c>
      <c r="P241" s="10" t="s">
        <v>44</v>
      </c>
      <c r="Q241" s="10">
        <f t="array" ref="Q241">IFERROR(SUMPRODUCT((N241:P241&gt;0)*(N241:P241))/3, 0)</f>
        <v>0</v>
      </c>
      <c r="R241" s="10"/>
      <c r="S241" s="11" t="str">
        <f t="shared" si="42"/>
        <v/>
      </c>
      <c r="T241" s="7"/>
      <c r="U241" s="7"/>
      <c r="V241" s="7"/>
      <c r="W241" s="7"/>
      <c r="X241" s="7"/>
      <c r="Y241" s="7"/>
      <c r="Z241" s="15"/>
      <c r="AA241" s="15"/>
      <c r="AB241" s="11" t="str">
        <f t="shared" si="43"/>
        <v/>
      </c>
      <c r="AC241" s="11"/>
      <c r="AD241" s="11"/>
      <c r="AE241" s="11"/>
      <c r="AF241" s="11"/>
      <c r="AG241" s="11"/>
      <c r="AH241" s="11"/>
      <c r="AI241" s="11"/>
      <c r="AJ241" s="15"/>
      <c r="AK241" s="15"/>
      <c r="AL241" s="14">
        <f t="shared" si="44"/>
        <v>3</v>
      </c>
      <c r="AM241" s="11">
        <f t="shared" si="45"/>
        <v>3</v>
      </c>
      <c r="AN241" s="14">
        <f t="shared" si="46"/>
        <v>3</v>
      </c>
      <c r="AO241" s="15"/>
      <c r="AP241" s="15"/>
      <c r="AQ241" s="15"/>
    </row>
    <row r="242" spans="1:43" ht="51" hidden="1" x14ac:dyDescent="0.2">
      <c r="A242" s="7">
        <v>241</v>
      </c>
      <c r="B242" s="19" t="s">
        <v>541</v>
      </c>
      <c r="C242" s="19" t="s">
        <v>542</v>
      </c>
      <c r="D242" s="8" t="s">
        <v>34</v>
      </c>
      <c r="E242" s="19" t="s">
        <v>269</v>
      </c>
      <c r="F242" s="8" t="s">
        <v>36</v>
      </c>
      <c r="G242" s="7" t="s">
        <v>59</v>
      </c>
      <c r="H242" s="9" t="s">
        <v>44</v>
      </c>
      <c r="I242" s="10"/>
      <c r="J242" s="10" t="s">
        <v>40</v>
      </c>
      <c r="K242" s="10" t="s">
        <v>40</v>
      </c>
      <c r="L242" s="10" t="s">
        <v>40</v>
      </c>
      <c r="M242">
        <v>0</v>
      </c>
      <c r="N242">
        <v>0</v>
      </c>
      <c r="O242">
        <v>0</v>
      </c>
      <c r="P242" s="10" t="s">
        <v>44</v>
      </c>
      <c r="Q242" s="10">
        <f t="array" ref="Q242">IFERROR(SUMPRODUCT((N242:P242&gt;0)*(N242:P242))/3, 0)</f>
        <v>0</v>
      </c>
      <c r="R242" s="10"/>
      <c r="S242" s="11" t="str">
        <f t="shared" si="42"/>
        <v/>
      </c>
      <c r="T242" s="7"/>
      <c r="U242" s="7"/>
      <c r="V242" s="7"/>
      <c r="W242" s="7"/>
      <c r="X242" s="7"/>
      <c r="Y242" s="7"/>
      <c r="Z242" s="15"/>
      <c r="AA242" s="15"/>
      <c r="AB242" s="11" t="str">
        <f t="shared" si="43"/>
        <v/>
      </c>
      <c r="AC242" s="11"/>
      <c r="AD242" s="11"/>
      <c r="AE242" s="11"/>
      <c r="AF242" s="11"/>
      <c r="AG242" s="11"/>
      <c r="AH242" s="11"/>
      <c r="AI242" s="11"/>
      <c r="AJ242" s="15"/>
      <c r="AK242" s="15"/>
      <c r="AL242" s="14">
        <f t="shared" si="44"/>
        <v>3</v>
      </c>
      <c r="AM242" s="11">
        <f t="shared" si="45"/>
        <v>3</v>
      </c>
      <c r="AN242" s="14">
        <f t="shared" si="46"/>
        <v>3</v>
      </c>
      <c r="AO242" s="15"/>
      <c r="AP242" s="15"/>
      <c r="AQ242" s="15"/>
    </row>
    <row r="243" spans="1:43" ht="51" hidden="1" x14ac:dyDescent="0.2">
      <c r="A243" s="7">
        <v>242</v>
      </c>
      <c r="B243" s="19" t="s">
        <v>543</v>
      </c>
      <c r="C243" s="19" t="s">
        <v>544</v>
      </c>
      <c r="D243" s="8" t="s">
        <v>34</v>
      </c>
      <c r="E243" s="19" t="s">
        <v>269</v>
      </c>
      <c r="F243" s="8" t="s">
        <v>36</v>
      </c>
      <c r="G243" s="7" t="s">
        <v>59</v>
      </c>
      <c r="H243" s="9" t="s">
        <v>44</v>
      </c>
      <c r="I243" s="10"/>
      <c r="J243" s="10" t="s">
        <v>40</v>
      </c>
      <c r="K243" s="10" t="s">
        <v>40</v>
      </c>
      <c r="L243" s="10" t="s">
        <v>40</v>
      </c>
      <c r="M243">
        <v>0</v>
      </c>
      <c r="N243">
        <v>0</v>
      </c>
      <c r="O243">
        <v>0</v>
      </c>
      <c r="P243" s="10" t="s">
        <v>44</v>
      </c>
      <c r="Q243" s="10">
        <f t="array" ref="Q243">IFERROR(SUMPRODUCT((N243:P243&gt;0)*(N243:P243))/3, 0)</f>
        <v>0</v>
      </c>
      <c r="R243" s="10"/>
      <c r="S243" s="11" t="str">
        <f t="shared" si="42"/>
        <v/>
      </c>
      <c r="T243" s="7"/>
      <c r="U243" s="7"/>
      <c r="V243" s="7"/>
      <c r="W243" s="7"/>
      <c r="X243" s="7"/>
      <c r="Y243" s="7"/>
      <c r="Z243" s="15"/>
      <c r="AA243" s="15"/>
      <c r="AB243" s="11" t="str">
        <f t="shared" si="43"/>
        <v/>
      </c>
      <c r="AC243" s="11"/>
      <c r="AD243" s="11"/>
      <c r="AE243" s="11"/>
      <c r="AF243" s="11"/>
      <c r="AG243" s="11"/>
      <c r="AH243" s="11"/>
      <c r="AI243" s="11"/>
      <c r="AJ243" s="15"/>
      <c r="AK243" s="15"/>
      <c r="AL243" s="14">
        <f t="shared" si="44"/>
        <v>3</v>
      </c>
      <c r="AM243" s="11">
        <f t="shared" si="45"/>
        <v>3</v>
      </c>
      <c r="AN243" s="14">
        <f t="shared" si="46"/>
        <v>3</v>
      </c>
      <c r="AO243" s="15"/>
      <c r="AP243" s="15"/>
      <c r="AQ243" s="15"/>
    </row>
    <row r="244" spans="1:43" ht="51" hidden="1" x14ac:dyDescent="0.2">
      <c r="A244" s="7">
        <v>243</v>
      </c>
      <c r="B244" s="19" t="s">
        <v>545</v>
      </c>
      <c r="C244" s="19" t="s">
        <v>546</v>
      </c>
      <c r="D244" s="8" t="s">
        <v>34</v>
      </c>
      <c r="E244" s="19" t="s">
        <v>269</v>
      </c>
      <c r="F244" s="8" t="s">
        <v>36</v>
      </c>
      <c r="G244" s="7" t="s">
        <v>59</v>
      </c>
      <c r="H244" s="9" t="s">
        <v>44</v>
      </c>
      <c r="I244" s="10"/>
      <c r="J244" s="10" t="s">
        <v>40</v>
      </c>
      <c r="K244" s="10" t="s">
        <v>40</v>
      </c>
      <c r="L244" s="10" t="s">
        <v>40</v>
      </c>
      <c r="M244">
        <v>0</v>
      </c>
      <c r="N244">
        <v>0</v>
      </c>
      <c r="O244">
        <v>0</v>
      </c>
      <c r="P244" s="10" t="s">
        <v>44</v>
      </c>
      <c r="Q244" s="10">
        <f t="array" ref="Q244">IFERROR(SUMPRODUCT((N244:P244&gt;0)*(N244:P244))/3, 0)</f>
        <v>0</v>
      </c>
      <c r="R244" s="10"/>
      <c r="S244" s="11" t="str">
        <f t="shared" si="42"/>
        <v/>
      </c>
      <c r="T244" s="7"/>
      <c r="U244" s="7"/>
      <c r="V244" s="7"/>
      <c r="W244" s="7"/>
      <c r="X244" s="7"/>
      <c r="Y244" s="7"/>
      <c r="Z244" s="15"/>
      <c r="AA244" s="15"/>
      <c r="AB244" s="11" t="str">
        <f t="shared" si="43"/>
        <v/>
      </c>
      <c r="AC244" s="11"/>
      <c r="AD244" s="11"/>
      <c r="AE244" s="11"/>
      <c r="AF244" s="11"/>
      <c r="AG244" s="11"/>
      <c r="AH244" s="11"/>
      <c r="AI244" s="11"/>
      <c r="AJ244" s="15"/>
      <c r="AK244" s="15"/>
      <c r="AL244" s="14">
        <f t="shared" si="44"/>
        <v>3</v>
      </c>
      <c r="AM244" s="11">
        <f t="shared" si="45"/>
        <v>3</v>
      </c>
      <c r="AN244" s="14">
        <f t="shared" si="46"/>
        <v>3</v>
      </c>
      <c r="AO244" s="15"/>
      <c r="AP244" s="15"/>
      <c r="AQ244" s="15"/>
    </row>
    <row r="245" spans="1:43" ht="51" hidden="1" x14ac:dyDescent="0.2">
      <c r="A245" s="7">
        <v>244</v>
      </c>
      <c r="B245" s="19" t="s">
        <v>547</v>
      </c>
      <c r="C245" s="19" t="s">
        <v>548</v>
      </c>
      <c r="D245" s="8" t="s">
        <v>34</v>
      </c>
      <c r="E245" s="19" t="s">
        <v>269</v>
      </c>
      <c r="F245" s="8" t="s">
        <v>36</v>
      </c>
      <c r="G245" s="7" t="s">
        <v>59</v>
      </c>
      <c r="H245" s="9" t="s">
        <v>44</v>
      </c>
      <c r="I245" s="10"/>
      <c r="J245" s="10" t="s">
        <v>40</v>
      </c>
      <c r="K245" s="10" t="s">
        <v>40</v>
      </c>
      <c r="L245" s="10" t="s">
        <v>40</v>
      </c>
      <c r="M245">
        <v>0</v>
      </c>
      <c r="N245">
        <v>0</v>
      </c>
      <c r="O245">
        <v>0</v>
      </c>
      <c r="P245" s="10" t="s">
        <v>44</v>
      </c>
      <c r="Q245" s="10">
        <f t="array" ref="Q245">IFERROR(SUMPRODUCT((N245:P245&gt;0)*(N245:P245))/3, 0)</f>
        <v>0</v>
      </c>
      <c r="R245" s="10"/>
      <c r="S245" s="11" t="str">
        <f t="shared" si="42"/>
        <v/>
      </c>
      <c r="T245" s="7"/>
      <c r="U245" s="7"/>
      <c r="V245" s="7"/>
      <c r="W245" s="7"/>
      <c r="X245" s="7"/>
      <c r="Y245" s="7"/>
      <c r="Z245" s="15"/>
      <c r="AA245" s="15"/>
      <c r="AB245" s="11" t="str">
        <f t="shared" si="43"/>
        <v/>
      </c>
      <c r="AC245" s="11"/>
      <c r="AD245" s="11"/>
      <c r="AE245" s="11"/>
      <c r="AF245" s="11"/>
      <c r="AG245" s="11"/>
      <c r="AH245" s="11"/>
      <c r="AI245" s="11"/>
      <c r="AJ245" s="15"/>
      <c r="AK245" s="15"/>
      <c r="AL245" s="14">
        <f t="shared" si="44"/>
        <v>3</v>
      </c>
      <c r="AM245" s="11">
        <f t="shared" si="45"/>
        <v>3</v>
      </c>
      <c r="AN245" s="14">
        <f t="shared" si="46"/>
        <v>3</v>
      </c>
      <c r="AO245" s="15"/>
      <c r="AP245" s="15"/>
      <c r="AQ245" s="15"/>
    </row>
    <row r="246" spans="1:43" ht="51" hidden="1" x14ac:dyDescent="0.2">
      <c r="A246" s="7">
        <v>245</v>
      </c>
      <c r="B246" s="19" t="s">
        <v>549</v>
      </c>
      <c r="C246" s="19" t="s">
        <v>550</v>
      </c>
      <c r="D246" s="8" t="s">
        <v>34</v>
      </c>
      <c r="E246" s="19" t="s">
        <v>269</v>
      </c>
      <c r="F246" s="8" t="s">
        <v>36</v>
      </c>
      <c r="G246" s="7" t="s">
        <v>59</v>
      </c>
      <c r="H246" s="9" t="s">
        <v>44</v>
      </c>
      <c r="I246" s="10"/>
      <c r="J246" s="10" t="s">
        <v>40</v>
      </c>
      <c r="K246" s="10" t="s">
        <v>40</v>
      </c>
      <c r="L246" s="10" t="s">
        <v>40</v>
      </c>
      <c r="M246">
        <v>0</v>
      </c>
      <c r="N246">
        <v>0</v>
      </c>
      <c r="O246">
        <v>0</v>
      </c>
      <c r="P246" s="10" t="s">
        <v>44</v>
      </c>
      <c r="Q246" s="10">
        <f t="array" ref="Q246">IFERROR(SUMPRODUCT((N246:P246&gt;0)*(N246:P246))/3, 0)</f>
        <v>0</v>
      </c>
      <c r="R246" s="10"/>
      <c r="S246" s="11" t="str">
        <f t="shared" si="42"/>
        <v/>
      </c>
      <c r="T246" s="7"/>
      <c r="U246" s="7"/>
      <c r="V246" s="7"/>
      <c r="W246" s="7"/>
      <c r="X246" s="7"/>
      <c r="Y246" s="7"/>
      <c r="Z246" s="15"/>
      <c r="AA246" s="15"/>
      <c r="AB246" s="11" t="str">
        <f t="shared" si="43"/>
        <v/>
      </c>
      <c r="AC246" s="11"/>
      <c r="AD246" s="11"/>
      <c r="AE246" s="11"/>
      <c r="AF246" s="11"/>
      <c r="AG246" s="11"/>
      <c r="AH246" s="11"/>
      <c r="AI246" s="11"/>
      <c r="AJ246" s="15"/>
      <c r="AK246" s="15"/>
      <c r="AL246" s="14">
        <f t="shared" si="44"/>
        <v>3</v>
      </c>
      <c r="AM246" s="11">
        <f t="shared" si="45"/>
        <v>3</v>
      </c>
      <c r="AN246" s="14">
        <f t="shared" si="46"/>
        <v>3</v>
      </c>
      <c r="AO246" s="15"/>
      <c r="AP246" s="15"/>
      <c r="AQ246" s="15"/>
    </row>
    <row r="247" spans="1:43" ht="51" hidden="1" x14ac:dyDescent="0.2">
      <c r="A247" s="7">
        <v>246</v>
      </c>
      <c r="B247" s="19" t="s">
        <v>551</v>
      </c>
      <c r="C247" s="19" t="s">
        <v>552</v>
      </c>
      <c r="D247" s="8" t="s">
        <v>34</v>
      </c>
      <c r="E247" s="19" t="s">
        <v>269</v>
      </c>
      <c r="F247" s="8" t="s">
        <v>36</v>
      </c>
      <c r="G247" s="7" t="s">
        <v>59</v>
      </c>
      <c r="H247" s="9" t="s">
        <v>44</v>
      </c>
      <c r="I247" s="10"/>
      <c r="J247" s="10" t="s">
        <v>40</v>
      </c>
      <c r="K247" s="10" t="s">
        <v>40</v>
      </c>
      <c r="L247" s="10" t="s">
        <v>40</v>
      </c>
      <c r="M247">
        <v>0</v>
      </c>
      <c r="N247">
        <v>0</v>
      </c>
      <c r="O247">
        <v>0</v>
      </c>
      <c r="P247" s="10" t="s">
        <v>44</v>
      </c>
      <c r="Q247" s="10">
        <f t="array" ref="Q247">IFERROR(SUMPRODUCT((N247:P247&gt;0)*(N247:P247))/3, 0)</f>
        <v>0</v>
      </c>
      <c r="R247" s="10"/>
      <c r="S247" s="11" t="str">
        <f t="shared" si="42"/>
        <v/>
      </c>
      <c r="T247" s="7"/>
      <c r="U247" s="7"/>
      <c r="V247" s="7"/>
      <c r="W247" s="7"/>
      <c r="X247" s="7"/>
      <c r="Y247" s="7"/>
      <c r="Z247" s="15"/>
      <c r="AA247" s="15"/>
      <c r="AB247" s="11" t="str">
        <f t="shared" si="43"/>
        <v/>
      </c>
      <c r="AC247" s="11"/>
      <c r="AD247" s="11"/>
      <c r="AE247" s="11"/>
      <c r="AF247" s="11"/>
      <c r="AG247" s="11"/>
      <c r="AH247" s="11"/>
      <c r="AI247" s="11"/>
      <c r="AJ247" s="15"/>
      <c r="AK247" s="15"/>
      <c r="AL247" s="14">
        <f t="shared" si="44"/>
        <v>3</v>
      </c>
      <c r="AM247" s="11">
        <f t="shared" si="45"/>
        <v>3</v>
      </c>
      <c r="AN247" s="14">
        <f t="shared" si="46"/>
        <v>3</v>
      </c>
      <c r="AO247" s="15"/>
      <c r="AP247" s="15"/>
      <c r="AQ247" s="15"/>
    </row>
    <row r="248" spans="1:43" ht="51" hidden="1" x14ac:dyDescent="0.2">
      <c r="A248" s="7">
        <v>247</v>
      </c>
      <c r="B248" s="19" t="s">
        <v>553</v>
      </c>
      <c r="C248" s="19" t="s">
        <v>554</v>
      </c>
      <c r="D248" s="8" t="s">
        <v>34</v>
      </c>
      <c r="E248" s="19" t="s">
        <v>269</v>
      </c>
      <c r="F248" s="8" t="s">
        <v>36</v>
      </c>
      <c r="G248" s="7" t="s">
        <v>59</v>
      </c>
      <c r="H248" s="9" t="s">
        <v>44</v>
      </c>
      <c r="I248" s="10"/>
      <c r="J248" s="10" t="s">
        <v>40</v>
      </c>
      <c r="K248" s="10" t="s">
        <v>40</v>
      </c>
      <c r="L248" s="10" t="s">
        <v>40</v>
      </c>
      <c r="M248">
        <v>0</v>
      </c>
      <c r="N248">
        <v>0</v>
      </c>
      <c r="O248">
        <v>0</v>
      </c>
      <c r="P248" s="10" t="s">
        <v>44</v>
      </c>
      <c r="Q248" s="10">
        <f t="array" ref="Q248">IFERROR(SUMPRODUCT((N248:P248&gt;0)*(N248:P248))/3, 0)</f>
        <v>0</v>
      </c>
      <c r="R248" s="10"/>
      <c r="S248" s="11" t="str">
        <f t="shared" si="42"/>
        <v/>
      </c>
      <c r="T248" s="7"/>
      <c r="U248" s="7"/>
      <c r="V248" s="7"/>
      <c r="W248" s="7"/>
      <c r="X248" s="7"/>
      <c r="Y248" s="7"/>
      <c r="Z248" s="15"/>
      <c r="AA248" s="15"/>
      <c r="AB248" s="11" t="str">
        <f t="shared" si="43"/>
        <v/>
      </c>
      <c r="AC248" s="11"/>
      <c r="AD248" s="11"/>
      <c r="AE248" s="11"/>
      <c r="AF248" s="11"/>
      <c r="AG248" s="11"/>
      <c r="AH248" s="11"/>
      <c r="AI248" s="11"/>
      <c r="AJ248" s="15"/>
      <c r="AK248" s="15"/>
      <c r="AL248" s="14">
        <f t="shared" si="44"/>
        <v>3</v>
      </c>
      <c r="AM248" s="11">
        <f t="shared" si="45"/>
        <v>3</v>
      </c>
      <c r="AN248" s="14">
        <f t="shared" si="46"/>
        <v>3</v>
      </c>
      <c r="AO248" s="15"/>
      <c r="AP248" s="15"/>
      <c r="AQ248" s="15"/>
    </row>
    <row r="249" spans="1:43" ht="51" hidden="1" x14ac:dyDescent="0.2">
      <c r="A249" s="7">
        <v>248</v>
      </c>
      <c r="B249" s="19" t="s">
        <v>555</v>
      </c>
      <c r="C249" s="19" t="s">
        <v>556</v>
      </c>
      <c r="D249" s="8" t="s">
        <v>34</v>
      </c>
      <c r="E249" s="19" t="s">
        <v>269</v>
      </c>
      <c r="F249" s="8" t="s">
        <v>36</v>
      </c>
      <c r="G249" s="7" t="s">
        <v>59</v>
      </c>
      <c r="H249" s="9" t="s">
        <v>44</v>
      </c>
      <c r="I249" s="10"/>
      <c r="J249" s="10" t="s">
        <v>40</v>
      </c>
      <c r="K249" s="10" t="s">
        <v>40</v>
      </c>
      <c r="L249" s="10" t="s">
        <v>40</v>
      </c>
      <c r="M249">
        <v>0</v>
      </c>
      <c r="N249">
        <v>0</v>
      </c>
      <c r="O249">
        <v>0</v>
      </c>
      <c r="P249" s="10" t="s">
        <v>44</v>
      </c>
      <c r="Q249" s="10">
        <f t="array" ref="Q249">IFERROR(SUMPRODUCT((N249:P249&gt;0)*(N249:P249))/3, 0)</f>
        <v>0</v>
      </c>
      <c r="R249" s="10"/>
      <c r="S249" s="11" t="str">
        <f t="shared" si="42"/>
        <v/>
      </c>
      <c r="T249" s="7"/>
      <c r="U249" s="7"/>
      <c r="V249" s="7"/>
      <c r="W249" s="7"/>
      <c r="X249" s="7"/>
      <c r="Y249" s="7"/>
      <c r="Z249" s="15"/>
      <c r="AA249" s="15"/>
      <c r="AB249" s="11" t="str">
        <f t="shared" si="43"/>
        <v/>
      </c>
      <c r="AC249" s="11"/>
      <c r="AD249" s="11"/>
      <c r="AE249" s="11"/>
      <c r="AF249" s="11"/>
      <c r="AG249" s="11"/>
      <c r="AH249" s="11"/>
      <c r="AI249" s="11"/>
      <c r="AJ249" s="15"/>
      <c r="AK249" s="15"/>
      <c r="AL249" s="14">
        <f t="shared" si="44"/>
        <v>3</v>
      </c>
      <c r="AM249" s="11">
        <f t="shared" si="45"/>
        <v>3</v>
      </c>
      <c r="AN249" s="14">
        <f t="shared" si="46"/>
        <v>3</v>
      </c>
      <c r="AO249" s="15"/>
      <c r="AP249" s="15"/>
      <c r="AQ249" s="15"/>
    </row>
    <row r="250" spans="1:43" ht="51" hidden="1" x14ac:dyDescent="0.2">
      <c r="A250" s="7">
        <v>249</v>
      </c>
      <c r="B250" s="19" t="s">
        <v>557</v>
      </c>
      <c r="C250" s="19" t="s">
        <v>558</v>
      </c>
      <c r="D250" s="8" t="s">
        <v>34</v>
      </c>
      <c r="E250" s="19" t="s">
        <v>269</v>
      </c>
      <c r="F250" s="8" t="s">
        <v>36</v>
      </c>
      <c r="G250" s="7" t="s">
        <v>59</v>
      </c>
      <c r="H250" s="9" t="s">
        <v>44</v>
      </c>
      <c r="I250" s="10"/>
      <c r="J250" s="10" t="s">
        <v>40</v>
      </c>
      <c r="K250" s="10" t="s">
        <v>40</v>
      </c>
      <c r="L250" s="10" t="s">
        <v>40</v>
      </c>
      <c r="M250">
        <v>0</v>
      </c>
      <c r="N250">
        <v>0</v>
      </c>
      <c r="O250">
        <v>0</v>
      </c>
      <c r="P250" s="10" t="s">
        <v>44</v>
      </c>
      <c r="Q250" s="10">
        <f t="array" ref="Q250">IFERROR(SUMPRODUCT((N250:P250&gt;0)*(N250:P250))/3, 0)</f>
        <v>0</v>
      </c>
      <c r="R250" s="10"/>
      <c r="S250" s="11" t="str">
        <f t="shared" si="42"/>
        <v/>
      </c>
      <c r="T250" s="7"/>
      <c r="U250" s="7"/>
      <c r="V250" s="7"/>
      <c r="W250" s="7"/>
      <c r="X250" s="7"/>
      <c r="Y250" s="7"/>
      <c r="Z250" s="15"/>
      <c r="AA250" s="15"/>
      <c r="AB250" s="11" t="str">
        <f t="shared" si="43"/>
        <v/>
      </c>
      <c r="AC250" s="11"/>
      <c r="AD250" s="11"/>
      <c r="AE250" s="11"/>
      <c r="AF250" s="11"/>
      <c r="AG250" s="11"/>
      <c r="AH250" s="11"/>
      <c r="AI250" s="11"/>
      <c r="AJ250" s="15"/>
      <c r="AK250" s="15"/>
      <c r="AL250" s="14">
        <f t="shared" si="44"/>
        <v>3</v>
      </c>
      <c r="AM250" s="11">
        <f t="shared" si="45"/>
        <v>3</v>
      </c>
      <c r="AN250" s="14">
        <f t="shared" si="46"/>
        <v>3</v>
      </c>
      <c r="AO250" s="15"/>
      <c r="AP250" s="15"/>
      <c r="AQ250" s="15"/>
    </row>
    <row r="251" spans="1:43" ht="51" hidden="1" x14ac:dyDescent="0.2">
      <c r="A251" s="7">
        <v>250</v>
      </c>
      <c r="B251" s="19" t="s">
        <v>559</v>
      </c>
      <c r="C251" s="19" t="s">
        <v>560</v>
      </c>
      <c r="D251" s="8" t="s">
        <v>34</v>
      </c>
      <c r="E251" s="19" t="s">
        <v>269</v>
      </c>
      <c r="F251" s="8" t="s">
        <v>36</v>
      </c>
      <c r="G251" s="7" t="s">
        <v>59</v>
      </c>
      <c r="H251" s="9" t="s">
        <v>44</v>
      </c>
      <c r="I251" s="10"/>
      <c r="J251" s="10" t="s">
        <v>40</v>
      </c>
      <c r="K251" s="10" t="s">
        <v>40</v>
      </c>
      <c r="L251" s="10" t="s">
        <v>40</v>
      </c>
      <c r="M251">
        <v>0</v>
      </c>
      <c r="N251">
        <v>0</v>
      </c>
      <c r="O251">
        <v>0</v>
      </c>
      <c r="P251" s="10" t="s">
        <v>44</v>
      </c>
      <c r="Q251" s="10">
        <f t="array" ref="Q251">IFERROR(SUMPRODUCT((N251:P251&gt;0)*(N251:P251))/3, 0)</f>
        <v>0</v>
      </c>
      <c r="R251" s="10"/>
      <c r="S251" s="11" t="str">
        <f t="shared" si="42"/>
        <v/>
      </c>
      <c r="T251" s="7"/>
      <c r="U251" s="7"/>
      <c r="V251" s="7"/>
      <c r="W251" s="7"/>
      <c r="X251" s="7"/>
      <c r="Y251" s="7"/>
      <c r="Z251" s="15"/>
      <c r="AA251" s="15"/>
      <c r="AB251" s="11" t="str">
        <f t="shared" si="43"/>
        <v/>
      </c>
      <c r="AC251" s="11"/>
      <c r="AD251" s="11"/>
      <c r="AE251" s="11"/>
      <c r="AF251" s="11"/>
      <c r="AG251" s="11"/>
      <c r="AH251" s="11"/>
      <c r="AI251" s="11"/>
      <c r="AJ251" s="15"/>
      <c r="AK251" s="15"/>
      <c r="AL251" s="14">
        <f t="shared" si="44"/>
        <v>3</v>
      </c>
      <c r="AM251" s="11">
        <f t="shared" si="45"/>
        <v>3</v>
      </c>
      <c r="AN251" s="14">
        <f t="shared" si="46"/>
        <v>3</v>
      </c>
      <c r="AO251" s="15"/>
      <c r="AP251" s="15"/>
      <c r="AQ251" s="15"/>
    </row>
    <row r="252" spans="1:43" ht="51" hidden="1" x14ac:dyDescent="0.2">
      <c r="A252" s="7">
        <v>251</v>
      </c>
      <c r="B252" s="19" t="s">
        <v>561</v>
      </c>
      <c r="C252" s="19" t="s">
        <v>562</v>
      </c>
      <c r="D252" s="8" t="s">
        <v>34</v>
      </c>
      <c r="E252" s="19" t="s">
        <v>269</v>
      </c>
      <c r="F252" s="8" t="s">
        <v>36</v>
      </c>
      <c r="G252" s="7" t="s">
        <v>59</v>
      </c>
      <c r="H252" s="9" t="s">
        <v>44</v>
      </c>
      <c r="I252" s="10"/>
      <c r="J252" s="10" t="s">
        <v>40</v>
      </c>
      <c r="K252" s="10" t="s">
        <v>40</v>
      </c>
      <c r="L252" s="10" t="s">
        <v>40</v>
      </c>
      <c r="M252">
        <v>0</v>
      </c>
      <c r="N252">
        <v>0</v>
      </c>
      <c r="O252">
        <v>0</v>
      </c>
      <c r="P252" s="10" t="s">
        <v>44</v>
      </c>
      <c r="Q252" s="10">
        <f t="array" ref="Q252">IFERROR(SUMPRODUCT((N252:P252&gt;0)*(N252:P252))/3, 0)</f>
        <v>0</v>
      </c>
      <c r="R252" s="10"/>
      <c r="S252" s="11" t="str">
        <f t="shared" si="42"/>
        <v/>
      </c>
      <c r="T252" s="7"/>
      <c r="U252" s="7"/>
      <c r="V252" s="7"/>
      <c r="W252" s="7"/>
      <c r="X252" s="7"/>
      <c r="Y252" s="7"/>
      <c r="Z252" s="15"/>
      <c r="AA252" s="15"/>
      <c r="AB252" s="11" t="str">
        <f t="shared" si="43"/>
        <v/>
      </c>
      <c r="AC252" s="11"/>
      <c r="AD252" s="11"/>
      <c r="AE252" s="11"/>
      <c r="AF252" s="11"/>
      <c r="AG252" s="11"/>
      <c r="AH252" s="11"/>
      <c r="AI252" s="11"/>
      <c r="AJ252" s="15"/>
      <c r="AK252" s="15"/>
      <c r="AL252" s="14">
        <f t="shared" si="44"/>
        <v>3</v>
      </c>
      <c r="AM252" s="11">
        <f t="shared" si="45"/>
        <v>3</v>
      </c>
      <c r="AN252" s="14">
        <f t="shared" si="46"/>
        <v>3</v>
      </c>
      <c r="AO252" s="15"/>
      <c r="AP252" s="15"/>
      <c r="AQ252" s="15"/>
    </row>
    <row r="253" spans="1:43" ht="51" hidden="1" x14ac:dyDescent="0.2">
      <c r="A253" s="7">
        <v>252</v>
      </c>
      <c r="B253" s="19" t="s">
        <v>563</v>
      </c>
      <c r="C253" s="19" t="s">
        <v>564</v>
      </c>
      <c r="D253" s="8" t="s">
        <v>34</v>
      </c>
      <c r="E253" s="19" t="s">
        <v>269</v>
      </c>
      <c r="F253" s="8" t="s">
        <v>36</v>
      </c>
      <c r="G253" s="7" t="s">
        <v>59</v>
      </c>
      <c r="H253" s="9" t="s">
        <v>44</v>
      </c>
      <c r="I253" s="10"/>
      <c r="J253" s="10" t="s">
        <v>40</v>
      </c>
      <c r="K253" s="10" t="s">
        <v>40</v>
      </c>
      <c r="L253" s="10" t="s">
        <v>40</v>
      </c>
      <c r="M253">
        <v>0</v>
      </c>
      <c r="N253">
        <v>0</v>
      </c>
      <c r="O253">
        <v>0</v>
      </c>
      <c r="P253" s="10" t="s">
        <v>44</v>
      </c>
      <c r="Q253" s="10">
        <f t="array" ref="Q253">IFERROR(SUMPRODUCT((N253:P253&gt;0)*(N253:P253))/3, 0)</f>
        <v>0</v>
      </c>
      <c r="R253" s="10"/>
      <c r="S253" s="11" t="str">
        <f t="shared" si="42"/>
        <v/>
      </c>
      <c r="T253" s="7"/>
      <c r="U253" s="7"/>
      <c r="V253" s="7"/>
      <c r="W253" s="7"/>
      <c r="X253" s="7"/>
      <c r="Y253" s="7"/>
      <c r="Z253" s="15"/>
      <c r="AA253" s="15"/>
      <c r="AB253" s="11" t="str">
        <f t="shared" si="43"/>
        <v/>
      </c>
      <c r="AC253" s="11"/>
      <c r="AD253" s="11"/>
      <c r="AE253" s="11"/>
      <c r="AF253" s="11"/>
      <c r="AG253" s="11"/>
      <c r="AH253" s="11"/>
      <c r="AI253" s="11"/>
      <c r="AJ253" s="15"/>
      <c r="AK253" s="15"/>
      <c r="AL253" s="14">
        <f t="shared" si="44"/>
        <v>3</v>
      </c>
      <c r="AM253" s="11">
        <f t="shared" si="45"/>
        <v>3</v>
      </c>
      <c r="AN253" s="14">
        <f t="shared" si="46"/>
        <v>3</v>
      </c>
      <c r="AO253" s="15"/>
      <c r="AP253" s="15"/>
      <c r="AQ253" s="15"/>
    </row>
    <row r="254" spans="1:43" ht="51" hidden="1" x14ac:dyDescent="0.2">
      <c r="A254" s="7">
        <v>253</v>
      </c>
      <c r="B254" s="19" t="s">
        <v>565</v>
      </c>
      <c r="C254" s="19" t="s">
        <v>566</v>
      </c>
      <c r="D254" s="8" t="s">
        <v>34</v>
      </c>
      <c r="E254" s="19" t="s">
        <v>269</v>
      </c>
      <c r="F254" s="8" t="s">
        <v>36</v>
      </c>
      <c r="G254" s="7" t="s">
        <v>59</v>
      </c>
      <c r="H254" s="9" t="s">
        <v>44</v>
      </c>
      <c r="I254" s="10"/>
      <c r="J254" s="10" t="s">
        <v>40</v>
      </c>
      <c r="K254" s="10" t="s">
        <v>40</v>
      </c>
      <c r="L254" s="10" t="s">
        <v>40</v>
      </c>
      <c r="M254">
        <v>0</v>
      </c>
      <c r="N254">
        <v>0</v>
      </c>
      <c r="O254">
        <v>0</v>
      </c>
      <c r="P254" s="10" t="s">
        <v>44</v>
      </c>
      <c r="Q254" s="10">
        <f t="array" ref="Q254">IFERROR(SUMPRODUCT((N254:P254&gt;0)*(N254:P254))/3, 0)</f>
        <v>0</v>
      </c>
      <c r="R254" s="10"/>
      <c r="S254" s="11" t="str">
        <f t="shared" si="42"/>
        <v/>
      </c>
      <c r="T254" s="7"/>
      <c r="U254" s="7"/>
      <c r="V254" s="7"/>
      <c r="W254" s="7"/>
      <c r="X254" s="7"/>
      <c r="Y254" s="7"/>
      <c r="Z254" s="15"/>
      <c r="AA254" s="15"/>
      <c r="AB254" s="11" t="str">
        <f t="shared" si="43"/>
        <v/>
      </c>
      <c r="AC254" s="11"/>
      <c r="AD254" s="11"/>
      <c r="AE254" s="11"/>
      <c r="AF254" s="11"/>
      <c r="AG254" s="11"/>
      <c r="AH254" s="11"/>
      <c r="AI254" s="11"/>
      <c r="AJ254" s="15"/>
      <c r="AK254" s="15"/>
      <c r="AL254" s="14">
        <f t="shared" si="44"/>
        <v>3</v>
      </c>
      <c r="AM254" s="11">
        <f t="shared" si="45"/>
        <v>3</v>
      </c>
      <c r="AN254" s="14">
        <f t="shared" si="46"/>
        <v>3</v>
      </c>
      <c r="AO254" s="15"/>
      <c r="AP254" s="15"/>
      <c r="AQ254" s="15"/>
    </row>
    <row r="255" spans="1:43" ht="51" hidden="1" x14ac:dyDescent="0.2">
      <c r="A255" s="7">
        <v>254</v>
      </c>
      <c r="B255" s="19" t="s">
        <v>567</v>
      </c>
      <c r="C255" s="19" t="s">
        <v>568</v>
      </c>
      <c r="D255" s="8" t="s">
        <v>34</v>
      </c>
      <c r="E255" s="19" t="s">
        <v>269</v>
      </c>
      <c r="F255" s="8" t="s">
        <v>36</v>
      </c>
      <c r="G255" s="7" t="s">
        <v>59</v>
      </c>
      <c r="H255" s="9" t="s">
        <v>44</v>
      </c>
      <c r="I255" s="10"/>
      <c r="J255" s="10" t="s">
        <v>40</v>
      </c>
      <c r="K255" s="10" t="s">
        <v>40</v>
      </c>
      <c r="L255" s="10" t="s">
        <v>40</v>
      </c>
      <c r="M255">
        <v>0</v>
      </c>
      <c r="N255">
        <v>0</v>
      </c>
      <c r="O255">
        <v>0</v>
      </c>
      <c r="P255" s="10" t="s">
        <v>44</v>
      </c>
      <c r="Q255" s="10">
        <f t="array" ref="Q255">IFERROR(SUMPRODUCT((N255:P255&gt;0)*(N255:P255))/3, 0)</f>
        <v>0</v>
      </c>
      <c r="R255" s="10"/>
      <c r="S255" s="11" t="str">
        <f t="shared" si="42"/>
        <v/>
      </c>
      <c r="T255" s="7"/>
      <c r="U255" s="7"/>
      <c r="V255" s="7"/>
      <c r="W255" s="7"/>
      <c r="X255" s="7"/>
      <c r="Y255" s="7"/>
      <c r="Z255" s="15"/>
      <c r="AA255" s="15"/>
      <c r="AB255" s="11" t="str">
        <f t="shared" si="43"/>
        <v/>
      </c>
      <c r="AC255" s="11"/>
      <c r="AD255" s="11"/>
      <c r="AE255" s="11"/>
      <c r="AF255" s="11"/>
      <c r="AG255" s="11"/>
      <c r="AH255" s="11"/>
      <c r="AI255" s="11"/>
      <c r="AJ255" s="15"/>
      <c r="AK255" s="15"/>
      <c r="AL255" s="14">
        <f t="shared" si="44"/>
        <v>3</v>
      </c>
      <c r="AM255" s="11">
        <f t="shared" si="45"/>
        <v>3</v>
      </c>
      <c r="AN255" s="14">
        <f t="shared" si="46"/>
        <v>3</v>
      </c>
      <c r="AO255" s="15"/>
      <c r="AP255" s="15"/>
      <c r="AQ255" s="15"/>
    </row>
    <row r="256" spans="1:43" ht="51" hidden="1" x14ac:dyDescent="0.2">
      <c r="A256" s="7">
        <v>255</v>
      </c>
      <c r="B256" s="19" t="s">
        <v>569</v>
      </c>
      <c r="C256" s="19" t="s">
        <v>570</v>
      </c>
      <c r="D256" s="8" t="s">
        <v>34</v>
      </c>
      <c r="E256" s="19" t="s">
        <v>269</v>
      </c>
      <c r="F256" s="8" t="s">
        <v>36</v>
      </c>
      <c r="G256" s="7" t="s">
        <v>59</v>
      </c>
      <c r="H256" s="9" t="s">
        <v>44</v>
      </c>
      <c r="I256" s="10"/>
      <c r="J256" s="10" t="s">
        <v>40</v>
      </c>
      <c r="K256" s="10" t="s">
        <v>40</v>
      </c>
      <c r="L256" s="10" t="s">
        <v>40</v>
      </c>
      <c r="M256">
        <v>0</v>
      </c>
      <c r="N256">
        <v>0</v>
      </c>
      <c r="O256">
        <v>0</v>
      </c>
      <c r="P256" s="10" t="s">
        <v>44</v>
      </c>
      <c r="Q256" s="10">
        <f t="array" ref="Q256">IFERROR(SUMPRODUCT((N256:P256&gt;0)*(N256:P256))/3, 0)</f>
        <v>0</v>
      </c>
      <c r="R256" s="10"/>
      <c r="S256" s="11" t="str">
        <f t="shared" si="42"/>
        <v/>
      </c>
      <c r="T256" s="7"/>
      <c r="U256" s="7"/>
      <c r="V256" s="7"/>
      <c r="W256" s="7"/>
      <c r="X256" s="7"/>
      <c r="Y256" s="7"/>
      <c r="Z256" s="15"/>
      <c r="AA256" s="15"/>
      <c r="AB256" s="11" t="str">
        <f t="shared" si="43"/>
        <v/>
      </c>
      <c r="AC256" s="11"/>
      <c r="AD256" s="11"/>
      <c r="AE256" s="11"/>
      <c r="AF256" s="11"/>
      <c r="AG256" s="11"/>
      <c r="AH256" s="11"/>
      <c r="AI256" s="11"/>
      <c r="AJ256" s="15"/>
      <c r="AK256" s="15"/>
      <c r="AL256" s="14">
        <f t="shared" si="44"/>
        <v>3</v>
      </c>
      <c r="AM256" s="11">
        <f t="shared" si="45"/>
        <v>3</v>
      </c>
      <c r="AN256" s="14">
        <f t="shared" si="46"/>
        <v>3</v>
      </c>
      <c r="AO256" s="15"/>
      <c r="AP256" s="15"/>
      <c r="AQ256" s="15"/>
    </row>
    <row r="257" spans="1:43" ht="51" hidden="1" x14ac:dyDescent="0.2">
      <c r="A257" s="7">
        <v>256</v>
      </c>
      <c r="B257" s="19" t="s">
        <v>571</v>
      </c>
      <c r="C257" s="19" t="s">
        <v>572</v>
      </c>
      <c r="D257" s="8" t="s">
        <v>34</v>
      </c>
      <c r="E257" s="19" t="s">
        <v>269</v>
      </c>
      <c r="F257" s="8" t="s">
        <v>36</v>
      </c>
      <c r="G257" s="7" t="s">
        <v>59</v>
      </c>
      <c r="H257" s="9" t="s">
        <v>44</v>
      </c>
      <c r="I257" s="10"/>
      <c r="J257" s="10" t="s">
        <v>40</v>
      </c>
      <c r="K257" s="10" t="s">
        <v>40</v>
      </c>
      <c r="L257" s="10" t="s">
        <v>40</v>
      </c>
      <c r="M257">
        <v>0</v>
      </c>
      <c r="N257">
        <v>0</v>
      </c>
      <c r="O257">
        <v>0</v>
      </c>
      <c r="P257" s="10" t="s">
        <v>44</v>
      </c>
      <c r="Q257" s="10">
        <f t="array" ref="Q257">IFERROR(SUMPRODUCT((N257:P257&gt;0)*(N257:P257))/3, 0)</f>
        <v>0</v>
      </c>
      <c r="R257" s="10"/>
      <c r="S257" s="11" t="str">
        <f t="shared" si="42"/>
        <v/>
      </c>
      <c r="T257" s="7"/>
      <c r="U257" s="7"/>
      <c r="V257" s="7"/>
      <c r="W257" s="7"/>
      <c r="X257" s="7"/>
      <c r="Y257" s="7"/>
      <c r="Z257" s="15"/>
      <c r="AA257" s="15"/>
      <c r="AB257" s="11" t="str">
        <f t="shared" si="43"/>
        <v/>
      </c>
      <c r="AC257" s="11"/>
      <c r="AD257" s="11"/>
      <c r="AE257" s="11"/>
      <c r="AF257" s="11"/>
      <c r="AG257" s="11"/>
      <c r="AH257" s="11"/>
      <c r="AI257" s="11"/>
      <c r="AJ257" s="15"/>
      <c r="AK257" s="15"/>
      <c r="AL257" s="14">
        <f t="shared" si="44"/>
        <v>3</v>
      </c>
      <c r="AM257" s="11">
        <f t="shared" si="45"/>
        <v>3</v>
      </c>
      <c r="AN257" s="14">
        <f t="shared" si="46"/>
        <v>3</v>
      </c>
      <c r="AO257" s="15"/>
      <c r="AP257" s="15"/>
      <c r="AQ257" s="15"/>
    </row>
    <row r="258" spans="1:43" ht="51" hidden="1" x14ac:dyDescent="0.2">
      <c r="A258" s="7">
        <v>257</v>
      </c>
      <c r="B258" s="19" t="s">
        <v>573</v>
      </c>
      <c r="C258" s="19" t="s">
        <v>574</v>
      </c>
      <c r="D258" s="8" t="s">
        <v>34</v>
      </c>
      <c r="E258" s="19" t="s">
        <v>269</v>
      </c>
      <c r="F258" s="8" t="s">
        <v>36</v>
      </c>
      <c r="G258" s="7" t="s">
        <v>59</v>
      </c>
      <c r="H258" s="9" t="s">
        <v>44</v>
      </c>
      <c r="I258" s="10"/>
      <c r="J258" s="10" t="s">
        <v>40</v>
      </c>
      <c r="K258" s="10" t="s">
        <v>40</v>
      </c>
      <c r="L258" s="10" t="s">
        <v>40</v>
      </c>
      <c r="M258">
        <v>0</v>
      </c>
      <c r="N258">
        <v>0</v>
      </c>
      <c r="O258">
        <v>0</v>
      </c>
      <c r="P258" s="10" t="s">
        <v>44</v>
      </c>
      <c r="Q258" s="10">
        <f t="array" ref="Q258">IFERROR(SUMPRODUCT((N258:P258&gt;0)*(N258:P258))/3, 0)</f>
        <v>0</v>
      </c>
      <c r="R258" s="10"/>
      <c r="S258" s="11" t="str">
        <f t="shared" si="42"/>
        <v/>
      </c>
      <c r="T258" s="7"/>
      <c r="U258" s="7"/>
      <c r="V258" s="7"/>
      <c r="W258" s="7"/>
      <c r="X258" s="7"/>
      <c r="Y258" s="7"/>
      <c r="Z258" s="15"/>
      <c r="AA258" s="15"/>
      <c r="AB258" s="11" t="str">
        <f t="shared" si="43"/>
        <v/>
      </c>
      <c r="AC258" s="11"/>
      <c r="AD258" s="11"/>
      <c r="AE258" s="11"/>
      <c r="AF258" s="11"/>
      <c r="AG258" s="11"/>
      <c r="AH258" s="11"/>
      <c r="AI258" s="11"/>
      <c r="AJ258" s="15"/>
      <c r="AK258" s="15"/>
      <c r="AL258" s="14">
        <f t="shared" si="44"/>
        <v>3</v>
      </c>
      <c r="AM258" s="11">
        <f t="shared" si="45"/>
        <v>3</v>
      </c>
      <c r="AN258" s="14">
        <f t="shared" si="46"/>
        <v>3</v>
      </c>
      <c r="AO258" s="15"/>
      <c r="AP258" s="15"/>
      <c r="AQ258" s="15"/>
    </row>
    <row r="259" spans="1:43" ht="51" hidden="1" x14ac:dyDescent="0.2">
      <c r="A259" s="7">
        <v>258</v>
      </c>
      <c r="B259" s="19" t="s">
        <v>575</v>
      </c>
      <c r="C259" s="19" t="s">
        <v>576</v>
      </c>
      <c r="D259" s="8" t="s">
        <v>34</v>
      </c>
      <c r="E259" s="19" t="s">
        <v>269</v>
      </c>
      <c r="F259" s="8" t="s">
        <v>36</v>
      </c>
      <c r="G259" s="7" t="s">
        <v>59</v>
      </c>
      <c r="H259" s="9" t="s">
        <v>44</v>
      </c>
      <c r="I259" s="10"/>
      <c r="J259" s="10" t="s">
        <v>40</v>
      </c>
      <c r="K259" s="10" t="s">
        <v>40</v>
      </c>
      <c r="L259" s="10" t="s">
        <v>40</v>
      </c>
      <c r="M259">
        <v>0</v>
      </c>
      <c r="N259">
        <v>0</v>
      </c>
      <c r="O259">
        <v>0</v>
      </c>
      <c r="P259" s="10" t="s">
        <v>44</v>
      </c>
      <c r="Q259" s="10">
        <f t="array" ref="Q259">IFERROR(SUMPRODUCT((N259:P259&gt;0)*(N259:P259))/3, 0)</f>
        <v>0</v>
      </c>
      <c r="R259" s="10"/>
      <c r="S259" s="11" t="str">
        <f t="shared" ref="S259:S322" si="47">IF(Q259&gt;0,LOG10(Q259+1),"")</f>
        <v/>
      </c>
      <c r="T259" s="7"/>
      <c r="U259" s="7"/>
      <c r="V259" s="7"/>
      <c r="W259" s="7"/>
      <c r="X259" s="7"/>
      <c r="Y259" s="7"/>
      <c r="Z259" s="15"/>
      <c r="AA259" s="15"/>
      <c r="AB259" s="11" t="str">
        <f t="shared" ref="AB259:AB322" si="48">IF(AA259&gt;0,LOG10(AA259+1),"")</f>
        <v/>
      </c>
      <c r="AC259" s="11"/>
      <c r="AD259" s="11"/>
      <c r="AE259" s="11"/>
      <c r="AF259" s="11"/>
      <c r="AG259" s="11"/>
      <c r="AH259" s="11"/>
      <c r="AI259" s="11"/>
      <c r="AJ259" s="15"/>
      <c r="AK259" s="15"/>
      <c r="AL259" s="14">
        <f t="shared" ref="AL259:AL322" si="49">IF(W259&gt;=5,9,IF(W259 &gt;=3,7,IF(W259=0,3,5)))</f>
        <v>3</v>
      </c>
      <c r="AM259" s="11">
        <f t="shared" ref="AM259:AM322" si="50">IF(I259&lt;4,3,IF(I259&lt;6,5,IF(I259&lt;11,7,9)))</f>
        <v>3</v>
      </c>
      <c r="AN259" s="14">
        <f t="shared" ref="AN259:AN322" si="51">IF(AB259=0,"3",
 IF(AB259="",3,
 IF(AB259&lt;=_xlfn.PERCENTILE.INC($AB$2:$AB$105,0.25),3,
 IF(AB259&lt;=_xlfn.PERCENTILE.INC($AB$2:$AB$105,0.5),5,
 IF(AB259&lt;=_xlfn.PERCENTILE.INC($AB$2:$AB$105,0.75),7,
 9)))))</f>
        <v>3</v>
      </c>
      <c r="AO259" s="15"/>
      <c r="AP259" s="15"/>
      <c r="AQ259" s="15"/>
    </row>
    <row r="260" spans="1:43" ht="51" hidden="1" x14ac:dyDescent="0.2">
      <c r="A260" s="7">
        <v>259</v>
      </c>
      <c r="B260" s="19" t="s">
        <v>577</v>
      </c>
      <c r="C260" s="19" t="s">
        <v>578</v>
      </c>
      <c r="D260" s="8" t="s">
        <v>34</v>
      </c>
      <c r="E260" s="19" t="s">
        <v>269</v>
      </c>
      <c r="F260" s="8" t="s">
        <v>36</v>
      </c>
      <c r="G260" s="7" t="s">
        <v>59</v>
      </c>
      <c r="H260" s="9" t="s">
        <v>44</v>
      </c>
      <c r="I260" s="10"/>
      <c r="J260" s="10" t="s">
        <v>40</v>
      </c>
      <c r="K260" s="10" t="s">
        <v>40</v>
      </c>
      <c r="L260" s="10" t="s">
        <v>40</v>
      </c>
      <c r="M260">
        <v>0</v>
      </c>
      <c r="N260">
        <v>0</v>
      </c>
      <c r="O260">
        <v>0</v>
      </c>
      <c r="P260" s="10" t="s">
        <v>44</v>
      </c>
      <c r="Q260" s="10">
        <f t="array" ref="Q260">IFERROR(SUMPRODUCT((N260:P260&gt;0)*(N260:P260))/3, 0)</f>
        <v>0</v>
      </c>
      <c r="R260" s="10"/>
      <c r="S260" s="11" t="str">
        <f t="shared" si="47"/>
        <v/>
      </c>
      <c r="T260" s="7"/>
      <c r="U260" s="7"/>
      <c r="V260" s="7"/>
      <c r="W260" s="7"/>
      <c r="X260" s="7"/>
      <c r="Y260" s="7"/>
      <c r="Z260" s="15"/>
      <c r="AA260" s="15"/>
      <c r="AB260" s="11" t="str">
        <f t="shared" si="48"/>
        <v/>
      </c>
      <c r="AC260" s="11"/>
      <c r="AD260" s="11"/>
      <c r="AE260" s="11"/>
      <c r="AF260" s="11"/>
      <c r="AG260" s="11"/>
      <c r="AH260" s="11"/>
      <c r="AI260" s="11"/>
      <c r="AJ260" s="15"/>
      <c r="AK260" s="15"/>
      <c r="AL260" s="14">
        <f t="shared" si="49"/>
        <v>3</v>
      </c>
      <c r="AM260" s="11">
        <f t="shared" si="50"/>
        <v>3</v>
      </c>
      <c r="AN260" s="14">
        <f t="shared" si="51"/>
        <v>3</v>
      </c>
      <c r="AO260" s="15"/>
      <c r="AP260" s="15"/>
      <c r="AQ260" s="15"/>
    </row>
    <row r="261" spans="1:43" ht="51" hidden="1" x14ac:dyDescent="0.2">
      <c r="A261" s="7">
        <v>260</v>
      </c>
      <c r="B261" s="19" t="s">
        <v>579</v>
      </c>
      <c r="C261" s="19" t="s">
        <v>580</v>
      </c>
      <c r="D261" s="8" t="s">
        <v>34</v>
      </c>
      <c r="E261" s="19" t="s">
        <v>269</v>
      </c>
      <c r="F261" s="8" t="s">
        <v>36</v>
      </c>
      <c r="G261" s="7" t="s">
        <v>59</v>
      </c>
      <c r="H261" s="9" t="s">
        <v>44</v>
      </c>
      <c r="I261" s="10"/>
      <c r="J261" s="10" t="s">
        <v>40</v>
      </c>
      <c r="K261" s="10" t="s">
        <v>40</v>
      </c>
      <c r="L261" s="10" t="s">
        <v>40</v>
      </c>
      <c r="M261">
        <v>0</v>
      </c>
      <c r="N261">
        <v>0</v>
      </c>
      <c r="O261">
        <v>0</v>
      </c>
      <c r="P261" s="10" t="s">
        <v>44</v>
      </c>
      <c r="Q261" s="10">
        <f t="array" ref="Q261">IFERROR(SUMPRODUCT((N261:P261&gt;0)*(N261:P261))/3, 0)</f>
        <v>0</v>
      </c>
      <c r="R261" s="10"/>
      <c r="S261" s="11" t="str">
        <f t="shared" si="47"/>
        <v/>
      </c>
      <c r="T261" s="7"/>
      <c r="U261" s="7"/>
      <c r="V261" s="7"/>
      <c r="W261" s="7"/>
      <c r="X261" s="7"/>
      <c r="Y261" s="7"/>
      <c r="Z261" s="15"/>
      <c r="AA261" s="15"/>
      <c r="AB261" s="11" t="str">
        <f t="shared" si="48"/>
        <v/>
      </c>
      <c r="AC261" s="11"/>
      <c r="AD261" s="11"/>
      <c r="AE261" s="11"/>
      <c r="AF261" s="11"/>
      <c r="AG261" s="11"/>
      <c r="AH261" s="11"/>
      <c r="AI261" s="11"/>
      <c r="AJ261" s="15"/>
      <c r="AK261" s="15"/>
      <c r="AL261" s="14">
        <f t="shared" si="49"/>
        <v>3</v>
      </c>
      <c r="AM261" s="11">
        <f t="shared" si="50"/>
        <v>3</v>
      </c>
      <c r="AN261" s="14">
        <f t="shared" si="51"/>
        <v>3</v>
      </c>
      <c r="AO261" s="15"/>
      <c r="AP261" s="15"/>
      <c r="AQ261" s="15"/>
    </row>
    <row r="262" spans="1:43" ht="51" hidden="1" x14ac:dyDescent="0.2">
      <c r="A262" s="7">
        <v>261</v>
      </c>
      <c r="B262" s="19" t="s">
        <v>581</v>
      </c>
      <c r="C262" s="19" t="s">
        <v>582</v>
      </c>
      <c r="D262" s="8" t="s">
        <v>34</v>
      </c>
      <c r="E262" s="19" t="s">
        <v>269</v>
      </c>
      <c r="F262" s="8" t="s">
        <v>36</v>
      </c>
      <c r="G262" s="7" t="s">
        <v>59</v>
      </c>
      <c r="H262" s="9" t="s">
        <v>44</v>
      </c>
      <c r="I262" s="10"/>
      <c r="J262" s="10" t="s">
        <v>40</v>
      </c>
      <c r="K262" s="10" t="s">
        <v>40</v>
      </c>
      <c r="L262" s="10" t="s">
        <v>40</v>
      </c>
      <c r="M262">
        <v>0</v>
      </c>
      <c r="N262">
        <v>0</v>
      </c>
      <c r="O262">
        <v>0</v>
      </c>
      <c r="P262" s="10" t="s">
        <v>44</v>
      </c>
      <c r="Q262" s="10">
        <f t="array" ref="Q262">IFERROR(SUMPRODUCT((N262:P262&gt;0)*(N262:P262))/3, 0)</f>
        <v>0</v>
      </c>
      <c r="R262" s="10"/>
      <c r="S262" s="11" t="str">
        <f t="shared" si="47"/>
        <v/>
      </c>
      <c r="T262" s="7"/>
      <c r="U262" s="7"/>
      <c r="V262" s="7"/>
      <c r="W262" s="7"/>
      <c r="X262" s="7"/>
      <c r="Y262" s="7"/>
      <c r="Z262" s="15"/>
      <c r="AA262" s="15"/>
      <c r="AB262" s="11" t="str">
        <f t="shared" si="48"/>
        <v/>
      </c>
      <c r="AC262" s="11"/>
      <c r="AD262" s="11"/>
      <c r="AE262" s="11"/>
      <c r="AF262" s="11"/>
      <c r="AG262" s="11"/>
      <c r="AH262" s="11"/>
      <c r="AI262" s="11"/>
      <c r="AJ262" s="15"/>
      <c r="AK262" s="15"/>
      <c r="AL262" s="14">
        <f t="shared" si="49"/>
        <v>3</v>
      </c>
      <c r="AM262" s="11">
        <f t="shared" si="50"/>
        <v>3</v>
      </c>
      <c r="AN262" s="14">
        <f t="shared" si="51"/>
        <v>3</v>
      </c>
      <c r="AO262" s="15"/>
      <c r="AP262" s="15"/>
      <c r="AQ262" s="15"/>
    </row>
    <row r="263" spans="1:43" ht="51" hidden="1" x14ac:dyDescent="0.2">
      <c r="A263" s="7">
        <v>262</v>
      </c>
      <c r="B263" s="19" t="s">
        <v>583</v>
      </c>
      <c r="C263" s="19" t="s">
        <v>584</v>
      </c>
      <c r="D263" s="8" t="s">
        <v>34</v>
      </c>
      <c r="E263" s="19" t="s">
        <v>269</v>
      </c>
      <c r="F263" s="8" t="s">
        <v>36</v>
      </c>
      <c r="G263" s="7" t="s">
        <v>59</v>
      </c>
      <c r="H263" s="9" t="s">
        <v>44</v>
      </c>
      <c r="I263" s="10"/>
      <c r="J263" s="10" t="s">
        <v>40</v>
      </c>
      <c r="K263" s="10" t="s">
        <v>40</v>
      </c>
      <c r="L263" s="10" t="s">
        <v>40</v>
      </c>
      <c r="M263">
        <v>0</v>
      </c>
      <c r="N263">
        <v>0</v>
      </c>
      <c r="O263">
        <v>0</v>
      </c>
      <c r="P263" s="10" t="s">
        <v>44</v>
      </c>
      <c r="Q263" s="10">
        <f t="array" ref="Q263">IFERROR(SUMPRODUCT((N263:P263&gt;0)*(N263:P263))/3, 0)</f>
        <v>0</v>
      </c>
      <c r="R263" s="10"/>
      <c r="S263" s="11" t="str">
        <f t="shared" si="47"/>
        <v/>
      </c>
      <c r="T263" s="7"/>
      <c r="U263" s="7"/>
      <c r="V263" s="7"/>
      <c r="W263" s="7"/>
      <c r="X263" s="7"/>
      <c r="Y263" s="7"/>
      <c r="Z263" s="15"/>
      <c r="AA263" s="15"/>
      <c r="AB263" s="11" t="str">
        <f t="shared" si="48"/>
        <v/>
      </c>
      <c r="AC263" s="11"/>
      <c r="AD263" s="11"/>
      <c r="AE263" s="11"/>
      <c r="AF263" s="11"/>
      <c r="AG263" s="11"/>
      <c r="AH263" s="11"/>
      <c r="AI263" s="11"/>
      <c r="AJ263" s="15"/>
      <c r="AK263" s="15"/>
      <c r="AL263" s="14">
        <f t="shared" si="49"/>
        <v>3</v>
      </c>
      <c r="AM263" s="11">
        <f t="shared" si="50"/>
        <v>3</v>
      </c>
      <c r="AN263" s="14">
        <f t="shared" si="51"/>
        <v>3</v>
      </c>
      <c r="AO263" s="15"/>
      <c r="AP263" s="15"/>
      <c r="AQ263" s="15"/>
    </row>
    <row r="264" spans="1:43" ht="51" hidden="1" x14ac:dyDescent="0.2">
      <c r="A264" s="7">
        <v>263</v>
      </c>
      <c r="B264" s="19" t="s">
        <v>585</v>
      </c>
      <c r="C264" s="19" t="s">
        <v>586</v>
      </c>
      <c r="D264" s="8" t="s">
        <v>34</v>
      </c>
      <c r="E264" s="19" t="s">
        <v>269</v>
      </c>
      <c r="F264" s="8" t="s">
        <v>36</v>
      </c>
      <c r="G264" s="7" t="s">
        <v>59</v>
      </c>
      <c r="H264" s="9" t="s">
        <v>44</v>
      </c>
      <c r="I264" s="10"/>
      <c r="J264" s="10" t="s">
        <v>40</v>
      </c>
      <c r="K264" s="10" t="s">
        <v>40</v>
      </c>
      <c r="L264" s="10" t="s">
        <v>40</v>
      </c>
      <c r="M264">
        <v>0</v>
      </c>
      <c r="N264">
        <v>0</v>
      </c>
      <c r="O264">
        <v>0</v>
      </c>
      <c r="P264" s="10" t="s">
        <v>44</v>
      </c>
      <c r="Q264" s="10">
        <f t="array" ref="Q264">IFERROR(SUMPRODUCT((N264:P264&gt;0)*(N264:P264))/3, 0)</f>
        <v>0</v>
      </c>
      <c r="R264" s="10"/>
      <c r="S264" s="11" t="str">
        <f t="shared" si="47"/>
        <v/>
      </c>
      <c r="T264" s="7"/>
      <c r="U264" s="7"/>
      <c r="V264" s="7"/>
      <c r="W264" s="7"/>
      <c r="X264" s="7"/>
      <c r="Y264" s="7"/>
      <c r="Z264" s="15"/>
      <c r="AA264" s="15"/>
      <c r="AB264" s="11" t="str">
        <f t="shared" si="48"/>
        <v/>
      </c>
      <c r="AC264" s="11"/>
      <c r="AD264" s="11"/>
      <c r="AE264" s="11"/>
      <c r="AF264" s="11"/>
      <c r="AG264" s="11"/>
      <c r="AH264" s="11"/>
      <c r="AI264" s="11"/>
      <c r="AJ264" s="15"/>
      <c r="AK264" s="15"/>
      <c r="AL264" s="14">
        <f t="shared" si="49"/>
        <v>3</v>
      </c>
      <c r="AM264" s="11">
        <f t="shared" si="50"/>
        <v>3</v>
      </c>
      <c r="AN264" s="14">
        <f t="shared" si="51"/>
        <v>3</v>
      </c>
      <c r="AO264" s="15"/>
      <c r="AP264" s="15"/>
      <c r="AQ264" s="15"/>
    </row>
    <row r="265" spans="1:43" ht="51" hidden="1" x14ac:dyDescent="0.2">
      <c r="A265" s="7">
        <v>264</v>
      </c>
      <c r="B265" s="19" t="s">
        <v>587</v>
      </c>
      <c r="C265" s="19" t="s">
        <v>588</v>
      </c>
      <c r="D265" s="8" t="s">
        <v>34</v>
      </c>
      <c r="E265" s="19" t="s">
        <v>269</v>
      </c>
      <c r="F265" s="8" t="s">
        <v>36</v>
      </c>
      <c r="G265" s="7" t="s">
        <v>59</v>
      </c>
      <c r="H265" s="9" t="s">
        <v>44</v>
      </c>
      <c r="I265" s="10"/>
      <c r="J265" s="10" t="s">
        <v>40</v>
      </c>
      <c r="K265" s="10" t="s">
        <v>40</v>
      </c>
      <c r="L265" s="10" t="s">
        <v>40</v>
      </c>
      <c r="M265">
        <v>0</v>
      </c>
      <c r="N265">
        <v>0</v>
      </c>
      <c r="O265">
        <v>0</v>
      </c>
      <c r="P265" s="10" t="s">
        <v>44</v>
      </c>
      <c r="Q265" s="10">
        <f t="array" ref="Q265">IFERROR(SUMPRODUCT((N265:P265&gt;0)*(N265:P265))/3, 0)</f>
        <v>0</v>
      </c>
      <c r="R265" s="10"/>
      <c r="S265" s="11" t="str">
        <f t="shared" si="47"/>
        <v/>
      </c>
      <c r="T265" s="7"/>
      <c r="U265" s="7"/>
      <c r="V265" s="7"/>
      <c r="W265" s="7"/>
      <c r="X265" s="7"/>
      <c r="Y265" s="7"/>
      <c r="Z265" s="15"/>
      <c r="AA265" s="15"/>
      <c r="AB265" s="11" t="str">
        <f t="shared" si="48"/>
        <v/>
      </c>
      <c r="AC265" s="11"/>
      <c r="AD265" s="11"/>
      <c r="AE265" s="11"/>
      <c r="AF265" s="11"/>
      <c r="AG265" s="11"/>
      <c r="AH265" s="11"/>
      <c r="AI265" s="11"/>
      <c r="AJ265" s="15"/>
      <c r="AK265" s="15"/>
      <c r="AL265" s="14">
        <f t="shared" si="49"/>
        <v>3</v>
      </c>
      <c r="AM265" s="11">
        <f t="shared" si="50"/>
        <v>3</v>
      </c>
      <c r="AN265" s="14">
        <f t="shared" si="51"/>
        <v>3</v>
      </c>
      <c r="AO265" s="15"/>
      <c r="AP265" s="15"/>
      <c r="AQ265" s="15"/>
    </row>
    <row r="266" spans="1:43" ht="51" hidden="1" x14ac:dyDescent="0.2">
      <c r="A266" s="7">
        <v>265</v>
      </c>
      <c r="B266" s="19" t="s">
        <v>589</v>
      </c>
      <c r="C266" s="19" t="s">
        <v>590</v>
      </c>
      <c r="D266" s="8" t="s">
        <v>34</v>
      </c>
      <c r="E266" s="19" t="s">
        <v>269</v>
      </c>
      <c r="F266" s="8" t="s">
        <v>36</v>
      </c>
      <c r="G266" s="7" t="s">
        <v>59</v>
      </c>
      <c r="H266" s="9" t="s">
        <v>44</v>
      </c>
      <c r="I266" s="10"/>
      <c r="J266" s="10" t="s">
        <v>40</v>
      </c>
      <c r="K266" s="10" t="s">
        <v>40</v>
      </c>
      <c r="L266" s="10" t="s">
        <v>40</v>
      </c>
      <c r="M266">
        <v>0</v>
      </c>
      <c r="N266">
        <v>0</v>
      </c>
      <c r="O266">
        <v>0</v>
      </c>
      <c r="P266" s="10" t="s">
        <v>44</v>
      </c>
      <c r="Q266" s="10">
        <f t="array" ref="Q266">IFERROR(SUMPRODUCT((N266:P266&gt;0)*(N266:P266))/3, 0)</f>
        <v>0</v>
      </c>
      <c r="R266" s="10"/>
      <c r="S266" s="11" t="str">
        <f t="shared" si="47"/>
        <v/>
      </c>
      <c r="T266" s="7"/>
      <c r="U266" s="7"/>
      <c r="V266" s="7"/>
      <c r="W266" s="7"/>
      <c r="X266" s="7"/>
      <c r="Y266" s="7"/>
      <c r="Z266" s="15"/>
      <c r="AA266" s="15"/>
      <c r="AB266" s="11" t="str">
        <f t="shared" si="48"/>
        <v/>
      </c>
      <c r="AC266" s="11"/>
      <c r="AD266" s="11"/>
      <c r="AE266" s="11"/>
      <c r="AF266" s="11"/>
      <c r="AG266" s="11"/>
      <c r="AH266" s="11"/>
      <c r="AI266" s="11"/>
      <c r="AJ266" s="15"/>
      <c r="AK266" s="15"/>
      <c r="AL266" s="14">
        <f t="shared" si="49"/>
        <v>3</v>
      </c>
      <c r="AM266" s="11">
        <f t="shared" si="50"/>
        <v>3</v>
      </c>
      <c r="AN266" s="14">
        <f t="shared" si="51"/>
        <v>3</v>
      </c>
      <c r="AO266" s="15"/>
      <c r="AP266" s="15"/>
      <c r="AQ266" s="15"/>
    </row>
    <row r="267" spans="1:43" ht="51" hidden="1" x14ac:dyDescent="0.2">
      <c r="A267" s="7">
        <v>266</v>
      </c>
      <c r="B267" s="19" t="s">
        <v>591</v>
      </c>
      <c r="C267" s="19" t="s">
        <v>592</v>
      </c>
      <c r="D267" s="8" t="s">
        <v>34</v>
      </c>
      <c r="E267" s="19" t="s">
        <v>269</v>
      </c>
      <c r="F267" s="8" t="s">
        <v>36</v>
      </c>
      <c r="G267" s="7" t="s">
        <v>59</v>
      </c>
      <c r="H267" s="9" t="s">
        <v>44</v>
      </c>
      <c r="I267" s="10"/>
      <c r="J267" s="10" t="s">
        <v>40</v>
      </c>
      <c r="K267" s="10" t="s">
        <v>40</v>
      </c>
      <c r="L267" s="10" t="s">
        <v>40</v>
      </c>
      <c r="M267">
        <v>0</v>
      </c>
      <c r="N267">
        <v>0</v>
      </c>
      <c r="O267">
        <v>0</v>
      </c>
      <c r="P267" s="10" t="s">
        <v>44</v>
      </c>
      <c r="Q267" s="10">
        <f t="array" ref="Q267">IFERROR(SUMPRODUCT((N267:P267&gt;0)*(N267:P267))/3, 0)</f>
        <v>0</v>
      </c>
      <c r="R267" s="10"/>
      <c r="S267" s="11" t="str">
        <f t="shared" si="47"/>
        <v/>
      </c>
      <c r="T267" s="7"/>
      <c r="U267" s="7"/>
      <c r="V267" s="7"/>
      <c r="W267" s="7"/>
      <c r="X267" s="7"/>
      <c r="Y267" s="7"/>
      <c r="Z267" s="15"/>
      <c r="AA267" s="15"/>
      <c r="AB267" s="11" t="str">
        <f t="shared" si="48"/>
        <v/>
      </c>
      <c r="AC267" s="11"/>
      <c r="AD267" s="11"/>
      <c r="AE267" s="11"/>
      <c r="AF267" s="11"/>
      <c r="AG267" s="11"/>
      <c r="AH267" s="11"/>
      <c r="AI267" s="11"/>
      <c r="AJ267" s="15"/>
      <c r="AK267" s="15"/>
      <c r="AL267" s="14">
        <f t="shared" si="49"/>
        <v>3</v>
      </c>
      <c r="AM267" s="11">
        <f t="shared" si="50"/>
        <v>3</v>
      </c>
      <c r="AN267" s="14">
        <f t="shared" si="51"/>
        <v>3</v>
      </c>
      <c r="AO267" s="15"/>
      <c r="AP267" s="15"/>
      <c r="AQ267" s="15"/>
    </row>
    <row r="268" spans="1:43" ht="51" hidden="1" x14ac:dyDescent="0.2">
      <c r="A268" s="7">
        <v>267</v>
      </c>
      <c r="B268" s="19" t="s">
        <v>593</v>
      </c>
      <c r="C268" s="19" t="s">
        <v>594</v>
      </c>
      <c r="D268" s="8" t="s">
        <v>34</v>
      </c>
      <c r="E268" s="19" t="s">
        <v>269</v>
      </c>
      <c r="F268" s="8" t="s">
        <v>36</v>
      </c>
      <c r="G268" s="7" t="s">
        <v>59</v>
      </c>
      <c r="H268" s="9" t="s">
        <v>44</v>
      </c>
      <c r="I268" s="10"/>
      <c r="J268" s="10" t="s">
        <v>40</v>
      </c>
      <c r="K268" s="10" t="s">
        <v>40</v>
      </c>
      <c r="L268" s="10" t="s">
        <v>40</v>
      </c>
      <c r="M268">
        <v>0</v>
      </c>
      <c r="N268">
        <v>0</v>
      </c>
      <c r="O268">
        <v>0</v>
      </c>
      <c r="P268" s="10" t="s">
        <v>44</v>
      </c>
      <c r="Q268" s="10">
        <f t="array" ref="Q268">IFERROR(SUMPRODUCT((N268:P268&gt;0)*(N268:P268))/3, 0)</f>
        <v>0</v>
      </c>
      <c r="R268" s="10"/>
      <c r="S268" s="11" t="str">
        <f t="shared" si="47"/>
        <v/>
      </c>
      <c r="T268" s="7"/>
      <c r="U268" s="7"/>
      <c r="V268" s="7"/>
      <c r="W268" s="7"/>
      <c r="X268" s="7"/>
      <c r="Y268" s="7"/>
      <c r="Z268" s="15"/>
      <c r="AA268" s="15"/>
      <c r="AB268" s="11" t="str">
        <f t="shared" si="48"/>
        <v/>
      </c>
      <c r="AC268" s="11"/>
      <c r="AD268" s="11"/>
      <c r="AE268" s="11"/>
      <c r="AF268" s="11"/>
      <c r="AG268" s="11"/>
      <c r="AH268" s="11"/>
      <c r="AI268" s="11"/>
      <c r="AJ268" s="15"/>
      <c r="AK268" s="15"/>
      <c r="AL268" s="14">
        <f t="shared" si="49"/>
        <v>3</v>
      </c>
      <c r="AM268" s="11">
        <f t="shared" si="50"/>
        <v>3</v>
      </c>
      <c r="AN268" s="14">
        <f t="shared" si="51"/>
        <v>3</v>
      </c>
      <c r="AO268" s="15"/>
      <c r="AP268" s="15"/>
      <c r="AQ268" s="15"/>
    </row>
    <row r="269" spans="1:43" ht="51" hidden="1" x14ac:dyDescent="0.2">
      <c r="A269" s="7">
        <v>268</v>
      </c>
      <c r="B269" s="19" t="s">
        <v>595</v>
      </c>
      <c r="C269" s="19" t="s">
        <v>596</v>
      </c>
      <c r="D269" s="8" t="s">
        <v>34</v>
      </c>
      <c r="E269" s="19" t="s">
        <v>269</v>
      </c>
      <c r="F269" s="8" t="s">
        <v>36</v>
      </c>
      <c r="G269" s="7" t="s">
        <v>59</v>
      </c>
      <c r="H269" s="9" t="s">
        <v>44</v>
      </c>
      <c r="I269" s="10"/>
      <c r="J269" s="10" t="s">
        <v>40</v>
      </c>
      <c r="K269" s="10" t="s">
        <v>40</v>
      </c>
      <c r="L269" s="10" t="s">
        <v>40</v>
      </c>
      <c r="M269">
        <v>0</v>
      </c>
      <c r="N269">
        <v>0</v>
      </c>
      <c r="O269">
        <v>0</v>
      </c>
      <c r="P269" s="10" t="s">
        <v>44</v>
      </c>
      <c r="Q269" s="10">
        <f t="array" ref="Q269">IFERROR(SUMPRODUCT((N269:P269&gt;0)*(N269:P269))/3, 0)</f>
        <v>0</v>
      </c>
      <c r="R269" s="10"/>
      <c r="S269" s="11" t="str">
        <f t="shared" si="47"/>
        <v/>
      </c>
      <c r="T269" s="7"/>
      <c r="U269" s="7"/>
      <c r="V269" s="7"/>
      <c r="W269" s="7"/>
      <c r="X269" s="7"/>
      <c r="Y269" s="7"/>
      <c r="Z269" s="15"/>
      <c r="AA269" s="15"/>
      <c r="AB269" s="11" t="str">
        <f t="shared" si="48"/>
        <v/>
      </c>
      <c r="AC269" s="11"/>
      <c r="AD269" s="11"/>
      <c r="AE269" s="11"/>
      <c r="AF269" s="11"/>
      <c r="AG269" s="11"/>
      <c r="AH269" s="11"/>
      <c r="AI269" s="11"/>
      <c r="AJ269" s="15"/>
      <c r="AK269" s="15"/>
      <c r="AL269" s="14">
        <f t="shared" si="49"/>
        <v>3</v>
      </c>
      <c r="AM269" s="11">
        <f t="shared" si="50"/>
        <v>3</v>
      </c>
      <c r="AN269" s="14">
        <f t="shared" si="51"/>
        <v>3</v>
      </c>
      <c r="AO269" s="15"/>
      <c r="AP269" s="15"/>
      <c r="AQ269" s="15"/>
    </row>
    <row r="270" spans="1:43" ht="68" hidden="1" x14ac:dyDescent="0.2">
      <c r="A270" s="7">
        <v>269</v>
      </c>
      <c r="B270" s="19" t="s">
        <v>597</v>
      </c>
      <c r="C270" s="19" t="s">
        <v>598</v>
      </c>
      <c r="D270" s="8" t="s">
        <v>34</v>
      </c>
      <c r="E270" s="19" t="s">
        <v>269</v>
      </c>
      <c r="F270" s="8" t="s">
        <v>36</v>
      </c>
      <c r="G270" s="7" t="s">
        <v>59</v>
      </c>
      <c r="H270" s="9" t="s">
        <v>44</v>
      </c>
      <c r="I270" s="10"/>
      <c r="J270" s="10" t="s">
        <v>40</v>
      </c>
      <c r="K270" s="10" t="s">
        <v>40</v>
      </c>
      <c r="L270" s="10" t="s">
        <v>40</v>
      </c>
      <c r="M270">
        <v>0</v>
      </c>
      <c r="N270">
        <v>0</v>
      </c>
      <c r="O270">
        <v>0</v>
      </c>
      <c r="P270" s="10" t="s">
        <v>44</v>
      </c>
      <c r="Q270" s="10">
        <f t="array" ref="Q270">IFERROR(SUMPRODUCT((N270:P270&gt;0)*(N270:P270))/3, 0)</f>
        <v>0</v>
      </c>
      <c r="R270" s="10"/>
      <c r="S270" s="11" t="str">
        <f t="shared" si="47"/>
        <v/>
      </c>
      <c r="T270" s="7"/>
      <c r="U270" s="7"/>
      <c r="V270" s="7"/>
      <c r="W270" s="7"/>
      <c r="X270" s="7"/>
      <c r="Y270" s="7"/>
      <c r="Z270" s="15"/>
      <c r="AA270" s="15"/>
      <c r="AB270" s="11" t="str">
        <f t="shared" si="48"/>
        <v/>
      </c>
      <c r="AC270" s="11"/>
      <c r="AD270" s="11"/>
      <c r="AE270" s="11"/>
      <c r="AF270" s="11"/>
      <c r="AG270" s="11"/>
      <c r="AH270" s="11"/>
      <c r="AI270" s="11"/>
      <c r="AJ270" s="15"/>
      <c r="AK270" s="15"/>
      <c r="AL270" s="14">
        <f t="shared" si="49"/>
        <v>3</v>
      </c>
      <c r="AM270" s="11">
        <f t="shared" si="50"/>
        <v>3</v>
      </c>
      <c r="AN270" s="14">
        <f t="shared" si="51"/>
        <v>3</v>
      </c>
      <c r="AO270" s="15"/>
      <c r="AP270" s="15"/>
      <c r="AQ270" s="15"/>
    </row>
    <row r="271" spans="1:43" ht="51" hidden="1" x14ac:dyDescent="0.2">
      <c r="A271" s="7">
        <v>270</v>
      </c>
      <c r="B271" s="19" t="s">
        <v>599</v>
      </c>
      <c r="C271" s="19" t="s">
        <v>600</v>
      </c>
      <c r="D271" s="8" t="s">
        <v>34</v>
      </c>
      <c r="E271" s="19" t="s">
        <v>269</v>
      </c>
      <c r="F271" s="8" t="s">
        <v>36</v>
      </c>
      <c r="G271" s="7" t="s">
        <v>59</v>
      </c>
      <c r="H271" s="9" t="s">
        <v>44</v>
      </c>
      <c r="I271" s="10"/>
      <c r="J271" s="10" t="s">
        <v>40</v>
      </c>
      <c r="K271" s="10" t="s">
        <v>40</v>
      </c>
      <c r="L271" s="10" t="s">
        <v>40</v>
      </c>
      <c r="M271">
        <v>0</v>
      </c>
      <c r="N271">
        <v>0</v>
      </c>
      <c r="O271">
        <v>0</v>
      </c>
      <c r="P271" s="10" t="s">
        <v>44</v>
      </c>
      <c r="Q271" s="10">
        <f t="array" ref="Q271">IFERROR(SUMPRODUCT((N271:P271&gt;0)*(N271:P271))/3, 0)</f>
        <v>0</v>
      </c>
      <c r="R271" s="10"/>
      <c r="S271" s="11" t="str">
        <f t="shared" si="47"/>
        <v/>
      </c>
      <c r="T271" s="7"/>
      <c r="U271" s="7"/>
      <c r="V271" s="7"/>
      <c r="W271" s="7"/>
      <c r="X271" s="7"/>
      <c r="Y271" s="7"/>
      <c r="Z271" s="15"/>
      <c r="AA271" s="15"/>
      <c r="AB271" s="11" t="str">
        <f t="shared" si="48"/>
        <v/>
      </c>
      <c r="AC271" s="11"/>
      <c r="AD271" s="11"/>
      <c r="AE271" s="11"/>
      <c r="AF271" s="11"/>
      <c r="AG271" s="11"/>
      <c r="AH271" s="11"/>
      <c r="AI271" s="11"/>
      <c r="AJ271" s="15"/>
      <c r="AK271" s="15"/>
      <c r="AL271" s="14">
        <f t="shared" si="49"/>
        <v>3</v>
      </c>
      <c r="AM271" s="11">
        <f t="shared" si="50"/>
        <v>3</v>
      </c>
      <c r="AN271" s="14">
        <f t="shared" si="51"/>
        <v>3</v>
      </c>
      <c r="AO271" s="15"/>
      <c r="AP271" s="15"/>
      <c r="AQ271" s="15"/>
    </row>
    <row r="272" spans="1:43" ht="51" hidden="1" x14ac:dyDescent="0.2">
      <c r="A272" s="7">
        <v>271</v>
      </c>
      <c r="B272" s="19" t="s">
        <v>601</v>
      </c>
      <c r="C272" s="19" t="s">
        <v>602</v>
      </c>
      <c r="D272" s="8" t="s">
        <v>34</v>
      </c>
      <c r="E272" s="19" t="s">
        <v>269</v>
      </c>
      <c r="F272" s="8" t="s">
        <v>36</v>
      </c>
      <c r="G272" s="7" t="s">
        <v>59</v>
      </c>
      <c r="H272" s="9" t="s">
        <v>44</v>
      </c>
      <c r="I272" s="10"/>
      <c r="J272" s="10" t="s">
        <v>40</v>
      </c>
      <c r="K272" s="10" t="s">
        <v>40</v>
      </c>
      <c r="L272" s="10" t="s">
        <v>40</v>
      </c>
      <c r="M272">
        <v>0</v>
      </c>
      <c r="N272">
        <v>0</v>
      </c>
      <c r="O272">
        <v>0</v>
      </c>
      <c r="P272" s="10" t="s">
        <v>44</v>
      </c>
      <c r="Q272" s="10">
        <f t="array" ref="Q272">IFERROR(SUMPRODUCT((N272:P272&gt;0)*(N272:P272))/3, 0)</f>
        <v>0</v>
      </c>
      <c r="R272" s="10"/>
      <c r="S272" s="11" t="str">
        <f t="shared" si="47"/>
        <v/>
      </c>
      <c r="T272" s="7"/>
      <c r="U272" s="7"/>
      <c r="V272" s="7"/>
      <c r="W272" s="7"/>
      <c r="X272" s="7"/>
      <c r="Y272" s="7"/>
      <c r="Z272" s="15"/>
      <c r="AA272" s="15"/>
      <c r="AB272" s="11" t="str">
        <f t="shared" si="48"/>
        <v/>
      </c>
      <c r="AC272" s="11"/>
      <c r="AD272" s="11"/>
      <c r="AE272" s="11"/>
      <c r="AF272" s="11"/>
      <c r="AG272" s="11"/>
      <c r="AH272" s="11"/>
      <c r="AI272" s="11"/>
      <c r="AJ272" s="15"/>
      <c r="AK272" s="15"/>
      <c r="AL272" s="14">
        <f t="shared" si="49"/>
        <v>3</v>
      </c>
      <c r="AM272" s="11">
        <f t="shared" si="50"/>
        <v>3</v>
      </c>
      <c r="AN272" s="14">
        <f t="shared" si="51"/>
        <v>3</v>
      </c>
      <c r="AO272" s="15"/>
      <c r="AP272" s="15"/>
      <c r="AQ272" s="15"/>
    </row>
    <row r="273" spans="1:43" ht="51" hidden="1" x14ac:dyDescent="0.2">
      <c r="A273" s="7">
        <v>272</v>
      </c>
      <c r="B273" s="19" t="s">
        <v>603</v>
      </c>
      <c r="C273" s="19" t="s">
        <v>604</v>
      </c>
      <c r="D273" s="8" t="s">
        <v>34</v>
      </c>
      <c r="E273" s="19" t="s">
        <v>269</v>
      </c>
      <c r="F273" s="8" t="s">
        <v>36</v>
      </c>
      <c r="G273" s="7" t="s">
        <v>59</v>
      </c>
      <c r="H273" s="9" t="s">
        <v>44</v>
      </c>
      <c r="I273" s="10"/>
      <c r="J273" s="10" t="s">
        <v>40</v>
      </c>
      <c r="K273" s="10" t="s">
        <v>40</v>
      </c>
      <c r="L273" s="10" t="s">
        <v>40</v>
      </c>
      <c r="M273">
        <v>0</v>
      </c>
      <c r="N273">
        <v>0</v>
      </c>
      <c r="O273">
        <v>0</v>
      </c>
      <c r="P273" s="10" t="s">
        <v>44</v>
      </c>
      <c r="Q273" s="10">
        <f t="array" ref="Q273">IFERROR(SUMPRODUCT((N273:P273&gt;0)*(N273:P273))/3, 0)</f>
        <v>0</v>
      </c>
      <c r="R273" s="10"/>
      <c r="S273" s="11" t="str">
        <f t="shared" si="47"/>
        <v/>
      </c>
      <c r="T273" s="7"/>
      <c r="U273" s="7"/>
      <c r="V273" s="7"/>
      <c r="W273" s="7"/>
      <c r="X273" s="7"/>
      <c r="Y273" s="7"/>
      <c r="Z273" s="15"/>
      <c r="AA273" s="15"/>
      <c r="AB273" s="11" t="str">
        <f t="shared" si="48"/>
        <v/>
      </c>
      <c r="AC273" s="11"/>
      <c r="AD273" s="11"/>
      <c r="AE273" s="11"/>
      <c r="AF273" s="11"/>
      <c r="AG273" s="11"/>
      <c r="AH273" s="11"/>
      <c r="AI273" s="11"/>
      <c r="AJ273" s="15"/>
      <c r="AK273" s="15"/>
      <c r="AL273" s="14">
        <f t="shared" si="49"/>
        <v>3</v>
      </c>
      <c r="AM273" s="11">
        <f t="shared" si="50"/>
        <v>3</v>
      </c>
      <c r="AN273" s="14">
        <f t="shared" si="51"/>
        <v>3</v>
      </c>
      <c r="AO273" s="15"/>
      <c r="AP273" s="15"/>
      <c r="AQ273" s="15"/>
    </row>
    <row r="274" spans="1:43" ht="51" hidden="1" x14ac:dyDescent="0.2">
      <c r="A274" s="7">
        <v>273</v>
      </c>
      <c r="B274" s="19" t="s">
        <v>605</v>
      </c>
      <c r="C274" s="19" t="s">
        <v>606</v>
      </c>
      <c r="D274" s="8" t="s">
        <v>34</v>
      </c>
      <c r="E274" s="19" t="s">
        <v>269</v>
      </c>
      <c r="F274" s="8" t="s">
        <v>36</v>
      </c>
      <c r="G274" s="7" t="s">
        <v>59</v>
      </c>
      <c r="H274" s="9" t="s">
        <v>44</v>
      </c>
      <c r="I274" s="10"/>
      <c r="J274" s="10" t="s">
        <v>40</v>
      </c>
      <c r="K274" s="10" t="s">
        <v>40</v>
      </c>
      <c r="L274" s="10" t="s">
        <v>40</v>
      </c>
      <c r="M274">
        <v>0</v>
      </c>
      <c r="N274">
        <v>0</v>
      </c>
      <c r="O274">
        <v>0</v>
      </c>
      <c r="P274" s="10" t="s">
        <v>44</v>
      </c>
      <c r="Q274" s="10">
        <f t="array" ref="Q274">IFERROR(SUMPRODUCT((N274:P274&gt;0)*(N274:P274))/3, 0)</f>
        <v>0</v>
      </c>
      <c r="R274" s="10"/>
      <c r="S274" s="11" t="str">
        <f t="shared" si="47"/>
        <v/>
      </c>
      <c r="T274" s="7"/>
      <c r="U274" s="7"/>
      <c r="V274" s="7"/>
      <c r="W274" s="7"/>
      <c r="X274" s="7"/>
      <c r="Y274" s="7"/>
      <c r="Z274" s="15"/>
      <c r="AA274" s="15"/>
      <c r="AB274" s="11" t="str">
        <f t="shared" si="48"/>
        <v/>
      </c>
      <c r="AC274" s="11"/>
      <c r="AD274" s="11"/>
      <c r="AE274" s="11"/>
      <c r="AF274" s="11"/>
      <c r="AG274" s="11"/>
      <c r="AH274" s="11"/>
      <c r="AI274" s="11"/>
      <c r="AJ274" s="15"/>
      <c r="AK274" s="15"/>
      <c r="AL274" s="14">
        <f t="shared" si="49"/>
        <v>3</v>
      </c>
      <c r="AM274" s="11">
        <f t="shared" si="50"/>
        <v>3</v>
      </c>
      <c r="AN274" s="14">
        <f t="shared" si="51"/>
        <v>3</v>
      </c>
      <c r="AO274" s="15"/>
      <c r="AP274" s="15"/>
      <c r="AQ274" s="15"/>
    </row>
    <row r="275" spans="1:43" ht="51" hidden="1" x14ac:dyDescent="0.2">
      <c r="A275" s="7">
        <v>274</v>
      </c>
      <c r="B275" s="19" t="s">
        <v>607</v>
      </c>
      <c r="C275" s="19" t="s">
        <v>608</v>
      </c>
      <c r="D275" s="8" t="s">
        <v>34</v>
      </c>
      <c r="E275" s="19" t="s">
        <v>269</v>
      </c>
      <c r="F275" s="8" t="s">
        <v>36</v>
      </c>
      <c r="G275" s="7" t="s">
        <v>59</v>
      </c>
      <c r="H275" s="9" t="s">
        <v>44</v>
      </c>
      <c r="I275" s="10"/>
      <c r="J275" s="10" t="s">
        <v>40</v>
      </c>
      <c r="K275" s="10" t="s">
        <v>40</v>
      </c>
      <c r="L275" s="10" t="s">
        <v>40</v>
      </c>
      <c r="M275">
        <v>0</v>
      </c>
      <c r="N275">
        <v>0</v>
      </c>
      <c r="O275">
        <v>0</v>
      </c>
      <c r="P275" s="10" t="s">
        <v>44</v>
      </c>
      <c r="Q275" s="10">
        <f t="array" ref="Q275">IFERROR(SUMPRODUCT((N275:P275&gt;0)*(N275:P275))/3, 0)</f>
        <v>0</v>
      </c>
      <c r="R275" s="10"/>
      <c r="S275" s="11" t="str">
        <f t="shared" si="47"/>
        <v/>
      </c>
      <c r="T275" s="7"/>
      <c r="U275" s="7"/>
      <c r="V275" s="7"/>
      <c r="W275" s="7"/>
      <c r="X275" s="7"/>
      <c r="Y275" s="7"/>
      <c r="Z275" s="15"/>
      <c r="AA275" s="15"/>
      <c r="AB275" s="11" t="str">
        <f t="shared" si="48"/>
        <v/>
      </c>
      <c r="AC275" s="11"/>
      <c r="AD275" s="11"/>
      <c r="AE275" s="11"/>
      <c r="AF275" s="11"/>
      <c r="AG275" s="11"/>
      <c r="AH275" s="11"/>
      <c r="AI275" s="11"/>
      <c r="AJ275" s="15"/>
      <c r="AK275" s="15"/>
      <c r="AL275" s="14">
        <f t="shared" si="49"/>
        <v>3</v>
      </c>
      <c r="AM275" s="11">
        <f t="shared" si="50"/>
        <v>3</v>
      </c>
      <c r="AN275" s="14">
        <f t="shared" si="51"/>
        <v>3</v>
      </c>
      <c r="AO275" s="15"/>
      <c r="AP275" s="15"/>
      <c r="AQ275" s="15"/>
    </row>
    <row r="276" spans="1:43" ht="51" hidden="1" x14ac:dyDescent="0.2">
      <c r="A276" s="7">
        <v>275</v>
      </c>
      <c r="B276" s="19" t="s">
        <v>609</v>
      </c>
      <c r="C276" s="19" t="s">
        <v>610</v>
      </c>
      <c r="D276" s="8" t="s">
        <v>34</v>
      </c>
      <c r="E276" s="19" t="s">
        <v>269</v>
      </c>
      <c r="F276" s="8" t="s">
        <v>36</v>
      </c>
      <c r="G276" s="7" t="s">
        <v>59</v>
      </c>
      <c r="H276" s="9" t="s">
        <v>44</v>
      </c>
      <c r="I276" s="10"/>
      <c r="J276" s="10" t="s">
        <v>40</v>
      </c>
      <c r="K276" s="10" t="s">
        <v>40</v>
      </c>
      <c r="L276" s="10" t="s">
        <v>40</v>
      </c>
      <c r="M276">
        <v>0</v>
      </c>
      <c r="N276">
        <v>0</v>
      </c>
      <c r="O276">
        <v>0</v>
      </c>
      <c r="P276" s="10" t="s">
        <v>44</v>
      </c>
      <c r="Q276" s="10">
        <f t="array" ref="Q276">IFERROR(SUMPRODUCT((N276:P276&gt;0)*(N276:P276))/3, 0)</f>
        <v>0</v>
      </c>
      <c r="R276" s="10"/>
      <c r="S276" s="11" t="str">
        <f t="shared" si="47"/>
        <v/>
      </c>
      <c r="T276" s="7"/>
      <c r="U276" s="7"/>
      <c r="V276" s="7"/>
      <c r="W276" s="7"/>
      <c r="X276" s="7"/>
      <c r="Y276" s="7"/>
      <c r="Z276" s="15"/>
      <c r="AA276" s="15"/>
      <c r="AB276" s="11" t="str">
        <f t="shared" si="48"/>
        <v/>
      </c>
      <c r="AC276" s="11"/>
      <c r="AD276" s="11"/>
      <c r="AE276" s="11"/>
      <c r="AF276" s="11"/>
      <c r="AG276" s="11"/>
      <c r="AH276" s="11"/>
      <c r="AI276" s="11"/>
      <c r="AJ276" s="15"/>
      <c r="AK276" s="15"/>
      <c r="AL276" s="14">
        <f t="shared" si="49"/>
        <v>3</v>
      </c>
      <c r="AM276" s="11">
        <f t="shared" si="50"/>
        <v>3</v>
      </c>
      <c r="AN276" s="14">
        <f t="shared" si="51"/>
        <v>3</v>
      </c>
      <c r="AO276" s="15"/>
      <c r="AP276" s="15"/>
      <c r="AQ276" s="15"/>
    </row>
    <row r="277" spans="1:43" ht="51" hidden="1" x14ac:dyDescent="0.2">
      <c r="A277" s="7">
        <v>276</v>
      </c>
      <c r="B277" s="19" t="s">
        <v>611</v>
      </c>
      <c r="C277" s="19" t="s">
        <v>612</v>
      </c>
      <c r="D277" s="8" t="s">
        <v>34</v>
      </c>
      <c r="E277" s="19" t="s">
        <v>269</v>
      </c>
      <c r="F277" s="8" t="s">
        <v>36</v>
      </c>
      <c r="G277" s="7" t="s">
        <v>59</v>
      </c>
      <c r="H277" s="9" t="s">
        <v>44</v>
      </c>
      <c r="I277" s="10"/>
      <c r="J277" s="10" t="s">
        <v>40</v>
      </c>
      <c r="K277" s="10" t="s">
        <v>40</v>
      </c>
      <c r="L277" s="10" t="s">
        <v>40</v>
      </c>
      <c r="M277">
        <v>0</v>
      </c>
      <c r="N277">
        <v>0</v>
      </c>
      <c r="O277">
        <v>0</v>
      </c>
      <c r="P277" s="10" t="s">
        <v>44</v>
      </c>
      <c r="Q277" s="10">
        <f t="array" ref="Q277">IFERROR(SUMPRODUCT((N277:P277&gt;0)*(N277:P277))/3, 0)</f>
        <v>0</v>
      </c>
      <c r="R277" s="10"/>
      <c r="S277" s="11" t="str">
        <f t="shared" si="47"/>
        <v/>
      </c>
      <c r="T277" s="7"/>
      <c r="U277" s="7"/>
      <c r="V277" s="7"/>
      <c r="W277" s="7"/>
      <c r="X277" s="7"/>
      <c r="Y277" s="7"/>
      <c r="Z277" s="15"/>
      <c r="AA277" s="15"/>
      <c r="AB277" s="11" t="str">
        <f t="shared" si="48"/>
        <v/>
      </c>
      <c r="AC277" s="11"/>
      <c r="AD277" s="11"/>
      <c r="AE277" s="11"/>
      <c r="AF277" s="11"/>
      <c r="AG277" s="11"/>
      <c r="AH277" s="11"/>
      <c r="AI277" s="11"/>
      <c r="AJ277" s="15"/>
      <c r="AK277" s="15"/>
      <c r="AL277" s="14">
        <f t="shared" si="49"/>
        <v>3</v>
      </c>
      <c r="AM277" s="11">
        <f t="shared" si="50"/>
        <v>3</v>
      </c>
      <c r="AN277" s="14">
        <f t="shared" si="51"/>
        <v>3</v>
      </c>
      <c r="AO277" s="15"/>
      <c r="AP277" s="15"/>
      <c r="AQ277" s="15"/>
    </row>
    <row r="278" spans="1:43" ht="51" hidden="1" x14ac:dyDescent="0.2">
      <c r="A278" s="7">
        <v>277</v>
      </c>
      <c r="B278" s="19" t="s">
        <v>613</v>
      </c>
      <c r="C278" s="19" t="s">
        <v>614</v>
      </c>
      <c r="D278" s="8" t="s">
        <v>34</v>
      </c>
      <c r="E278" s="19" t="s">
        <v>269</v>
      </c>
      <c r="F278" s="8" t="s">
        <v>36</v>
      </c>
      <c r="G278" s="7" t="s">
        <v>59</v>
      </c>
      <c r="H278" s="9" t="s">
        <v>44</v>
      </c>
      <c r="I278" s="10"/>
      <c r="J278" s="10" t="s">
        <v>40</v>
      </c>
      <c r="K278" s="10" t="s">
        <v>40</v>
      </c>
      <c r="L278" s="10" t="s">
        <v>40</v>
      </c>
      <c r="M278">
        <v>0</v>
      </c>
      <c r="N278">
        <v>0</v>
      </c>
      <c r="O278">
        <v>0</v>
      </c>
      <c r="P278" s="10" t="s">
        <v>44</v>
      </c>
      <c r="Q278" s="10">
        <f t="array" ref="Q278">IFERROR(SUMPRODUCT((N278:P278&gt;0)*(N278:P278))/3, 0)</f>
        <v>0</v>
      </c>
      <c r="R278" s="10"/>
      <c r="S278" s="11" t="str">
        <f t="shared" si="47"/>
        <v/>
      </c>
      <c r="T278" s="7"/>
      <c r="U278" s="7"/>
      <c r="V278" s="7"/>
      <c r="W278" s="7"/>
      <c r="X278" s="7"/>
      <c r="Y278" s="7"/>
      <c r="Z278" s="15"/>
      <c r="AA278" s="15"/>
      <c r="AB278" s="11" t="str">
        <f t="shared" si="48"/>
        <v/>
      </c>
      <c r="AC278" s="11"/>
      <c r="AD278" s="11"/>
      <c r="AE278" s="11"/>
      <c r="AF278" s="11"/>
      <c r="AG278" s="11"/>
      <c r="AH278" s="11"/>
      <c r="AI278" s="11"/>
      <c r="AJ278" s="15"/>
      <c r="AK278" s="15"/>
      <c r="AL278" s="14">
        <f t="shared" si="49"/>
        <v>3</v>
      </c>
      <c r="AM278" s="11">
        <f t="shared" si="50"/>
        <v>3</v>
      </c>
      <c r="AN278" s="14">
        <f t="shared" si="51"/>
        <v>3</v>
      </c>
      <c r="AO278" s="15"/>
      <c r="AP278" s="15"/>
      <c r="AQ278" s="15"/>
    </row>
    <row r="279" spans="1:43" ht="51" hidden="1" x14ac:dyDescent="0.2">
      <c r="A279" s="7">
        <v>278</v>
      </c>
      <c r="B279" s="19" t="s">
        <v>615</v>
      </c>
      <c r="C279" s="19" t="s">
        <v>616</v>
      </c>
      <c r="D279" s="8" t="s">
        <v>34</v>
      </c>
      <c r="E279" s="19" t="s">
        <v>269</v>
      </c>
      <c r="F279" s="8" t="s">
        <v>36</v>
      </c>
      <c r="G279" s="7" t="s">
        <v>59</v>
      </c>
      <c r="H279" s="9" t="s">
        <v>44</v>
      </c>
      <c r="I279" s="10"/>
      <c r="J279" s="10" t="s">
        <v>40</v>
      </c>
      <c r="K279" s="10" t="s">
        <v>40</v>
      </c>
      <c r="L279" s="10" t="s">
        <v>40</v>
      </c>
      <c r="M279">
        <v>0</v>
      </c>
      <c r="N279">
        <v>0</v>
      </c>
      <c r="O279">
        <v>0</v>
      </c>
      <c r="P279" s="10" t="s">
        <v>44</v>
      </c>
      <c r="Q279" s="10">
        <f t="array" ref="Q279">IFERROR(SUMPRODUCT((N279:P279&gt;0)*(N279:P279))/3, 0)</f>
        <v>0</v>
      </c>
      <c r="R279" s="10"/>
      <c r="S279" s="11" t="str">
        <f t="shared" si="47"/>
        <v/>
      </c>
      <c r="T279" s="7"/>
      <c r="U279" s="7"/>
      <c r="V279" s="7"/>
      <c r="W279" s="7"/>
      <c r="X279" s="7"/>
      <c r="Y279" s="7"/>
      <c r="Z279" s="15"/>
      <c r="AA279" s="15"/>
      <c r="AB279" s="11" t="str">
        <f t="shared" si="48"/>
        <v/>
      </c>
      <c r="AC279" s="11"/>
      <c r="AD279" s="11"/>
      <c r="AE279" s="11"/>
      <c r="AF279" s="11"/>
      <c r="AG279" s="11"/>
      <c r="AH279" s="11"/>
      <c r="AI279" s="11"/>
      <c r="AJ279" s="15"/>
      <c r="AK279" s="15"/>
      <c r="AL279" s="14">
        <f t="shared" si="49"/>
        <v>3</v>
      </c>
      <c r="AM279" s="11">
        <f t="shared" si="50"/>
        <v>3</v>
      </c>
      <c r="AN279" s="14">
        <f t="shared" si="51"/>
        <v>3</v>
      </c>
      <c r="AO279" s="15"/>
      <c r="AP279" s="15"/>
      <c r="AQ279" s="15"/>
    </row>
    <row r="280" spans="1:43" ht="51" hidden="1" x14ac:dyDescent="0.2">
      <c r="A280" s="7">
        <v>279</v>
      </c>
      <c r="B280" s="19" t="s">
        <v>617</v>
      </c>
      <c r="C280" s="19" t="s">
        <v>618</v>
      </c>
      <c r="D280" s="8" t="s">
        <v>34</v>
      </c>
      <c r="E280" s="19" t="s">
        <v>269</v>
      </c>
      <c r="F280" s="8" t="s">
        <v>36</v>
      </c>
      <c r="G280" s="7" t="s">
        <v>59</v>
      </c>
      <c r="H280" s="9" t="s">
        <v>44</v>
      </c>
      <c r="I280" s="10"/>
      <c r="J280" s="10" t="s">
        <v>40</v>
      </c>
      <c r="K280" s="10" t="s">
        <v>40</v>
      </c>
      <c r="L280" s="10" t="s">
        <v>40</v>
      </c>
      <c r="M280">
        <v>0</v>
      </c>
      <c r="N280">
        <v>0</v>
      </c>
      <c r="O280">
        <v>0</v>
      </c>
      <c r="P280" s="10" t="s">
        <v>44</v>
      </c>
      <c r="Q280" s="10">
        <f t="array" ref="Q280">IFERROR(SUMPRODUCT((N280:P280&gt;0)*(N280:P280))/3, 0)</f>
        <v>0</v>
      </c>
      <c r="R280" s="10"/>
      <c r="S280" s="11" t="str">
        <f t="shared" si="47"/>
        <v/>
      </c>
      <c r="T280" s="7"/>
      <c r="U280" s="7"/>
      <c r="V280" s="7"/>
      <c r="W280" s="7"/>
      <c r="X280" s="7"/>
      <c r="Y280" s="7"/>
      <c r="Z280" s="15"/>
      <c r="AA280" s="15"/>
      <c r="AB280" s="11" t="str">
        <f t="shared" si="48"/>
        <v/>
      </c>
      <c r="AC280" s="11"/>
      <c r="AD280" s="11"/>
      <c r="AE280" s="11"/>
      <c r="AF280" s="11"/>
      <c r="AG280" s="11"/>
      <c r="AH280" s="11"/>
      <c r="AI280" s="11"/>
      <c r="AJ280" s="15"/>
      <c r="AK280" s="15"/>
      <c r="AL280" s="14">
        <f t="shared" si="49"/>
        <v>3</v>
      </c>
      <c r="AM280" s="11">
        <f t="shared" si="50"/>
        <v>3</v>
      </c>
      <c r="AN280" s="14">
        <f t="shared" si="51"/>
        <v>3</v>
      </c>
      <c r="AO280" s="15"/>
      <c r="AP280" s="15"/>
      <c r="AQ280" s="15"/>
    </row>
    <row r="281" spans="1:43" ht="51" hidden="1" x14ac:dyDescent="0.2">
      <c r="A281" s="7">
        <v>280</v>
      </c>
      <c r="B281" s="19" t="s">
        <v>619</v>
      </c>
      <c r="C281" s="19" t="s">
        <v>620</v>
      </c>
      <c r="D281" s="8" t="s">
        <v>34</v>
      </c>
      <c r="E281" s="19" t="s">
        <v>269</v>
      </c>
      <c r="F281" s="8" t="s">
        <v>36</v>
      </c>
      <c r="G281" s="7" t="s">
        <v>59</v>
      </c>
      <c r="H281" s="9" t="s">
        <v>44</v>
      </c>
      <c r="I281" s="10"/>
      <c r="J281" s="10" t="s">
        <v>40</v>
      </c>
      <c r="K281" s="10" t="s">
        <v>40</v>
      </c>
      <c r="L281" s="10" t="s">
        <v>40</v>
      </c>
      <c r="M281">
        <v>0</v>
      </c>
      <c r="N281">
        <v>0</v>
      </c>
      <c r="O281">
        <v>0</v>
      </c>
      <c r="P281" s="10" t="s">
        <v>44</v>
      </c>
      <c r="Q281" s="10">
        <f t="array" ref="Q281">IFERROR(SUMPRODUCT((N281:P281&gt;0)*(N281:P281))/3, 0)</f>
        <v>0</v>
      </c>
      <c r="R281" s="10"/>
      <c r="S281" s="11" t="str">
        <f t="shared" si="47"/>
        <v/>
      </c>
      <c r="T281" s="7"/>
      <c r="U281" s="7"/>
      <c r="V281" s="7"/>
      <c r="W281" s="7"/>
      <c r="X281" s="7"/>
      <c r="Y281" s="7"/>
      <c r="Z281" s="15"/>
      <c r="AA281" s="15"/>
      <c r="AB281" s="11" t="str">
        <f t="shared" si="48"/>
        <v/>
      </c>
      <c r="AC281" s="11"/>
      <c r="AD281" s="11"/>
      <c r="AE281" s="11"/>
      <c r="AF281" s="11"/>
      <c r="AG281" s="11"/>
      <c r="AH281" s="11"/>
      <c r="AI281" s="11"/>
      <c r="AJ281" s="15"/>
      <c r="AK281" s="15"/>
      <c r="AL281" s="14">
        <f t="shared" si="49"/>
        <v>3</v>
      </c>
      <c r="AM281" s="11">
        <f t="shared" si="50"/>
        <v>3</v>
      </c>
      <c r="AN281" s="14">
        <f t="shared" si="51"/>
        <v>3</v>
      </c>
      <c r="AO281" s="15"/>
      <c r="AP281" s="15"/>
      <c r="AQ281" s="15"/>
    </row>
    <row r="282" spans="1:43" ht="34" hidden="1" x14ac:dyDescent="0.2">
      <c r="A282" s="7">
        <v>281</v>
      </c>
      <c r="B282" s="19" t="s">
        <v>621</v>
      </c>
      <c r="C282" s="19" t="s">
        <v>622</v>
      </c>
      <c r="D282" s="8" t="s">
        <v>34</v>
      </c>
      <c r="E282" s="19" t="s">
        <v>269</v>
      </c>
      <c r="F282" s="8" t="s">
        <v>36</v>
      </c>
      <c r="G282" s="7" t="s">
        <v>59</v>
      </c>
      <c r="H282" s="9" t="s">
        <v>44</v>
      </c>
      <c r="I282" s="10"/>
      <c r="J282" s="10" t="s">
        <v>40</v>
      </c>
      <c r="K282" s="10" t="s">
        <v>40</v>
      </c>
      <c r="L282" s="10" t="s">
        <v>40</v>
      </c>
      <c r="M282">
        <v>0</v>
      </c>
      <c r="N282">
        <v>0</v>
      </c>
      <c r="O282">
        <v>0</v>
      </c>
      <c r="P282" s="10" t="s">
        <v>44</v>
      </c>
      <c r="Q282" s="10">
        <f t="array" ref="Q282">IFERROR(SUMPRODUCT((N282:P282&gt;0)*(N282:P282))/3, 0)</f>
        <v>0</v>
      </c>
      <c r="R282" s="10"/>
      <c r="S282" s="11" t="str">
        <f t="shared" si="47"/>
        <v/>
      </c>
      <c r="T282" s="7"/>
      <c r="U282" s="7"/>
      <c r="V282" s="7"/>
      <c r="W282" s="7"/>
      <c r="X282" s="7"/>
      <c r="Y282" s="7"/>
      <c r="Z282" s="15"/>
      <c r="AA282" s="15"/>
      <c r="AB282" s="11" t="str">
        <f t="shared" si="48"/>
        <v/>
      </c>
      <c r="AC282" s="11"/>
      <c r="AD282" s="11"/>
      <c r="AE282" s="11"/>
      <c r="AF282" s="11"/>
      <c r="AG282" s="11"/>
      <c r="AH282" s="11"/>
      <c r="AI282" s="11"/>
      <c r="AJ282" s="15"/>
      <c r="AK282" s="15"/>
      <c r="AL282" s="14">
        <f t="shared" si="49"/>
        <v>3</v>
      </c>
      <c r="AM282" s="11">
        <f t="shared" si="50"/>
        <v>3</v>
      </c>
      <c r="AN282" s="14">
        <f t="shared" si="51"/>
        <v>3</v>
      </c>
      <c r="AO282" s="15"/>
      <c r="AP282" s="15"/>
      <c r="AQ282" s="15"/>
    </row>
    <row r="283" spans="1:43" ht="51" hidden="1" x14ac:dyDescent="0.2">
      <c r="A283" s="7">
        <v>282</v>
      </c>
      <c r="B283" s="19" t="s">
        <v>623</v>
      </c>
      <c r="C283" s="19" t="s">
        <v>624</v>
      </c>
      <c r="D283" s="8" t="s">
        <v>34</v>
      </c>
      <c r="E283" s="19" t="s">
        <v>269</v>
      </c>
      <c r="F283" s="8" t="s">
        <v>36</v>
      </c>
      <c r="G283" s="7" t="s">
        <v>59</v>
      </c>
      <c r="H283" s="9" t="s">
        <v>44</v>
      </c>
      <c r="I283" s="10"/>
      <c r="J283" s="10" t="s">
        <v>40</v>
      </c>
      <c r="K283" s="10" t="s">
        <v>40</v>
      </c>
      <c r="L283" s="10" t="s">
        <v>40</v>
      </c>
      <c r="M283">
        <v>0</v>
      </c>
      <c r="N283">
        <v>0</v>
      </c>
      <c r="O283">
        <v>0</v>
      </c>
      <c r="P283" s="10" t="s">
        <v>44</v>
      </c>
      <c r="Q283" s="10">
        <f t="array" ref="Q283">IFERROR(SUMPRODUCT((N283:P283&gt;0)*(N283:P283))/3, 0)</f>
        <v>0</v>
      </c>
      <c r="R283" s="10"/>
      <c r="S283" s="11" t="str">
        <f t="shared" si="47"/>
        <v/>
      </c>
      <c r="T283" s="7"/>
      <c r="U283" s="7"/>
      <c r="V283" s="7"/>
      <c r="W283" s="7"/>
      <c r="X283" s="7"/>
      <c r="Y283" s="7"/>
      <c r="Z283" s="15"/>
      <c r="AA283" s="15"/>
      <c r="AB283" s="11" t="str">
        <f t="shared" si="48"/>
        <v/>
      </c>
      <c r="AC283" s="11"/>
      <c r="AD283" s="11"/>
      <c r="AE283" s="11"/>
      <c r="AF283" s="11"/>
      <c r="AG283" s="11"/>
      <c r="AH283" s="11"/>
      <c r="AI283" s="11"/>
      <c r="AJ283" s="15"/>
      <c r="AK283" s="15"/>
      <c r="AL283" s="14">
        <f t="shared" si="49"/>
        <v>3</v>
      </c>
      <c r="AM283" s="11">
        <f t="shared" si="50"/>
        <v>3</v>
      </c>
      <c r="AN283" s="14">
        <f t="shared" si="51"/>
        <v>3</v>
      </c>
      <c r="AO283" s="15"/>
      <c r="AP283" s="15"/>
      <c r="AQ283" s="15"/>
    </row>
    <row r="284" spans="1:43" ht="51" hidden="1" x14ac:dyDescent="0.2">
      <c r="A284" s="7">
        <v>283</v>
      </c>
      <c r="B284" s="19" t="s">
        <v>625</v>
      </c>
      <c r="C284" s="19" t="s">
        <v>626</v>
      </c>
      <c r="D284" s="8" t="s">
        <v>34</v>
      </c>
      <c r="E284" s="19" t="s">
        <v>269</v>
      </c>
      <c r="F284" s="8" t="s">
        <v>36</v>
      </c>
      <c r="G284" s="7" t="s">
        <v>59</v>
      </c>
      <c r="H284" s="9" t="s">
        <v>44</v>
      </c>
      <c r="I284" s="10"/>
      <c r="J284" s="10" t="s">
        <v>40</v>
      </c>
      <c r="K284" s="10" t="s">
        <v>40</v>
      </c>
      <c r="L284" s="10" t="s">
        <v>40</v>
      </c>
      <c r="M284">
        <v>0</v>
      </c>
      <c r="N284">
        <v>0</v>
      </c>
      <c r="O284">
        <v>0</v>
      </c>
      <c r="P284" s="10" t="s">
        <v>44</v>
      </c>
      <c r="Q284" s="10">
        <f t="array" ref="Q284">IFERROR(SUMPRODUCT((N284:P284&gt;0)*(N284:P284))/3, 0)</f>
        <v>0</v>
      </c>
      <c r="R284" s="10"/>
      <c r="S284" s="11" t="str">
        <f t="shared" si="47"/>
        <v/>
      </c>
      <c r="T284" s="7"/>
      <c r="U284" s="7"/>
      <c r="V284" s="7"/>
      <c r="W284" s="7"/>
      <c r="X284" s="7"/>
      <c r="Y284" s="7"/>
      <c r="Z284" s="15"/>
      <c r="AA284" s="15"/>
      <c r="AB284" s="11" t="str">
        <f t="shared" si="48"/>
        <v/>
      </c>
      <c r="AC284" s="11"/>
      <c r="AD284" s="11"/>
      <c r="AE284" s="11"/>
      <c r="AF284" s="11"/>
      <c r="AG284" s="11"/>
      <c r="AH284" s="11"/>
      <c r="AI284" s="11"/>
      <c r="AJ284" s="15"/>
      <c r="AK284" s="15"/>
      <c r="AL284" s="14">
        <f t="shared" si="49"/>
        <v>3</v>
      </c>
      <c r="AM284" s="11">
        <f t="shared" si="50"/>
        <v>3</v>
      </c>
      <c r="AN284" s="14">
        <f t="shared" si="51"/>
        <v>3</v>
      </c>
      <c r="AO284" s="15"/>
      <c r="AP284" s="15"/>
      <c r="AQ284" s="15"/>
    </row>
    <row r="285" spans="1:43" ht="51" hidden="1" x14ac:dyDescent="0.2">
      <c r="A285" s="7">
        <v>284</v>
      </c>
      <c r="B285" s="19" t="s">
        <v>627</v>
      </c>
      <c r="C285" s="19" t="s">
        <v>628</v>
      </c>
      <c r="D285" s="8" t="s">
        <v>34</v>
      </c>
      <c r="E285" s="19" t="s">
        <v>269</v>
      </c>
      <c r="F285" s="8" t="s">
        <v>36</v>
      </c>
      <c r="G285" s="7" t="s">
        <v>59</v>
      </c>
      <c r="H285" s="9" t="s">
        <v>44</v>
      </c>
      <c r="I285" s="10"/>
      <c r="J285" s="10" t="s">
        <v>40</v>
      </c>
      <c r="K285" s="10" t="s">
        <v>40</v>
      </c>
      <c r="L285" s="10" t="s">
        <v>40</v>
      </c>
      <c r="M285">
        <v>0</v>
      </c>
      <c r="N285">
        <v>0</v>
      </c>
      <c r="O285">
        <v>0</v>
      </c>
      <c r="P285" s="10" t="s">
        <v>44</v>
      </c>
      <c r="Q285" s="10">
        <f t="array" ref="Q285">IFERROR(SUMPRODUCT((N285:P285&gt;0)*(N285:P285))/3, 0)</f>
        <v>0</v>
      </c>
      <c r="R285" s="10"/>
      <c r="S285" s="11" t="str">
        <f t="shared" si="47"/>
        <v/>
      </c>
      <c r="T285" s="7"/>
      <c r="U285" s="7"/>
      <c r="V285" s="7"/>
      <c r="W285" s="7"/>
      <c r="X285" s="7"/>
      <c r="Y285" s="7"/>
      <c r="Z285" s="15"/>
      <c r="AA285" s="15"/>
      <c r="AB285" s="11" t="str">
        <f t="shared" si="48"/>
        <v/>
      </c>
      <c r="AC285" s="11"/>
      <c r="AD285" s="11"/>
      <c r="AE285" s="11"/>
      <c r="AF285" s="11"/>
      <c r="AG285" s="11"/>
      <c r="AH285" s="11"/>
      <c r="AI285" s="11"/>
      <c r="AJ285" s="15"/>
      <c r="AK285" s="15"/>
      <c r="AL285" s="14">
        <f t="shared" si="49"/>
        <v>3</v>
      </c>
      <c r="AM285" s="11">
        <f t="shared" si="50"/>
        <v>3</v>
      </c>
      <c r="AN285" s="14">
        <f t="shared" si="51"/>
        <v>3</v>
      </c>
      <c r="AO285" s="15"/>
      <c r="AP285" s="15"/>
      <c r="AQ285" s="15"/>
    </row>
    <row r="286" spans="1:43" ht="51" hidden="1" x14ac:dyDescent="0.2">
      <c r="A286" s="7">
        <v>285</v>
      </c>
      <c r="B286" s="19" t="s">
        <v>629</v>
      </c>
      <c r="C286" s="19" t="s">
        <v>630</v>
      </c>
      <c r="D286" s="8" t="s">
        <v>34</v>
      </c>
      <c r="E286" s="19" t="s">
        <v>269</v>
      </c>
      <c r="F286" s="8" t="s">
        <v>36</v>
      </c>
      <c r="G286" s="7" t="s">
        <v>59</v>
      </c>
      <c r="H286" s="9" t="s">
        <v>44</v>
      </c>
      <c r="I286" s="10"/>
      <c r="J286" s="10" t="s">
        <v>40</v>
      </c>
      <c r="K286" s="10" t="s">
        <v>40</v>
      </c>
      <c r="L286" s="10" t="s">
        <v>40</v>
      </c>
      <c r="M286">
        <v>0</v>
      </c>
      <c r="N286">
        <v>0</v>
      </c>
      <c r="O286">
        <v>0</v>
      </c>
      <c r="P286" s="10" t="s">
        <v>44</v>
      </c>
      <c r="Q286" s="10">
        <f t="array" ref="Q286">IFERROR(SUMPRODUCT((N286:P286&gt;0)*(N286:P286))/3, 0)</f>
        <v>0</v>
      </c>
      <c r="R286" s="10"/>
      <c r="S286" s="11" t="str">
        <f t="shared" si="47"/>
        <v/>
      </c>
      <c r="T286" s="7"/>
      <c r="U286" s="7"/>
      <c r="V286" s="7"/>
      <c r="W286" s="7"/>
      <c r="X286" s="7"/>
      <c r="Y286" s="7"/>
      <c r="Z286" s="15"/>
      <c r="AA286" s="15"/>
      <c r="AB286" s="11" t="str">
        <f t="shared" si="48"/>
        <v/>
      </c>
      <c r="AC286" s="11"/>
      <c r="AD286" s="11"/>
      <c r="AE286" s="11"/>
      <c r="AF286" s="11"/>
      <c r="AG286" s="11"/>
      <c r="AH286" s="11"/>
      <c r="AI286" s="11"/>
      <c r="AJ286" s="15"/>
      <c r="AK286" s="15"/>
      <c r="AL286" s="14">
        <f t="shared" si="49"/>
        <v>3</v>
      </c>
      <c r="AM286" s="11">
        <f t="shared" si="50"/>
        <v>3</v>
      </c>
      <c r="AN286" s="14">
        <f t="shared" si="51"/>
        <v>3</v>
      </c>
      <c r="AO286" s="15"/>
      <c r="AP286" s="15"/>
      <c r="AQ286" s="15"/>
    </row>
    <row r="287" spans="1:43" ht="51" hidden="1" x14ac:dyDescent="0.2">
      <c r="A287" s="7">
        <v>286</v>
      </c>
      <c r="B287" s="19" t="s">
        <v>631</v>
      </c>
      <c r="C287" s="19" t="s">
        <v>632</v>
      </c>
      <c r="D287" s="8" t="s">
        <v>34</v>
      </c>
      <c r="E287" s="19" t="s">
        <v>269</v>
      </c>
      <c r="F287" s="8" t="s">
        <v>36</v>
      </c>
      <c r="G287" s="7" t="s">
        <v>59</v>
      </c>
      <c r="H287" s="9" t="s">
        <v>44</v>
      </c>
      <c r="I287" s="10"/>
      <c r="J287" s="10" t="s">
        <v>40</v>
      </c>
      <c r="K287" s="10" t="s">
        <v>40</v>
      </c>
      <c r="L287" s="10" t="s">
        <v>40</v>
      </c>
      <c r="M287">
        <v>0</v>
      </c>
      <c r="N287">
        <v>0</v>
      </c>
      <c r="O287">
        <v>0</v>
      </c>
      <c r="P287" s="10" t="s">
        <v>44</v>
      </c>
      <c r="Q287" s="10">
        <f t="array" ref="Q287">IFERROR(SUMPRODUCT((N287:P287&gt;0)*(N287:P287))/3, 0)</f>
        <v>0</v>
      </c>
      <c r="R287" s="10"/>
      <c r="S287" s="11" t="str">
        <f t="shared" si="47"/>
        <v/>
      </c>
      <c r="T287" s="7"/>
      <c r="U287" s="7"/>
      <c r="V287" s="7"/>
      <c r="W287" s="7"/>
      <c r="X287" s="7"/>
      <c r="Y287" s="7"/>
      <c r="Z287" s="15"/>
      <c r="AA287" s="15"/>
      <c r="AB287" s="11" t="str">
        <f t="shared" si="48"/>
        <v/>
      </c>
      <c r="AC287" s="11"/>
      <c r="AD287" s="11"/>
      <c r="AE287" s="11"/>
      <c r="AF287" s="11"/>
      <c r="AG287" s="11"/>
      <c r="AH287" s="11"/>
      <c r="AI287" s="11"/>
      <c r="AJ287" s="15"/>
      <c r="AK287" s="15"/>
      <c r="AL287" s="14">
        <f t="shared" si="49"/>
        <v>3</v>
      </c>
      <c r="AM287" s="11">
        <f t="shared" si="50"/>
        <v>3</v>
      </c>
      <c r="AN287" s="14">
        <f t="shared" si="51"/>
        <v>3</v>
      </c>
      <c r="AO287" s="15"/>
      <c r="AP287" s="15"/>
      <c r="AQ287" s="15"/>
    </row>
    <row r="288" spans="1:43" ht="51" hidden="1" x14ac:dyDescent="0.2">
      <c r="A288" s="7">
        <v>287</v>
      </c>
      <c r="B288" s="19" t="s">
        <v>633</v>
      </c>
      <c r="C288" s="19" t="s">
        <v>634</v>
      </c>
      <c r="D288" s="8" t="s">
        <v>34</v>
      </c>
      <c r="E288" s="19" t="s">
        <v>269</v>
      </c>
      <c r="F288" s="8" t="s">
        <v>36</v>
      </c>
      <c r="G288" s="7" t="s">
        <v>59</v>
      </c>
      <c r="H288" s="9" t="s">
        <v>44</v>
      </c>
      <c r="I288" s="10"/>
      <c r="J288" s="10" t="s">
        <v>40</v>
      </c>
      <c r="K288" s="10" t="s">
        <v>40</v>
      </c>
      <c r="L288" s="10" t="s">
        <v>40</v>
      </c>
      <c r="M288">
        <v>0</v>
      </c>
      <c r="N288">
        <v>0</v>
      </c>
      <c r="O288">
        <v>0</v>
      </c>
      <c r="P288" s="10" t="s">
        <v>44</v>
      </c>
      <c r="Q288" s="10">
        <f t="array" ref="Q288">IFERROR(SUMPRODUCT((N288:P288&gt;0)*(N288:P288))/3, 0)</f>
        <v>0</v>
      </c>
      <c r="R288" s="10"/>
      <c r="S288" s="11" t="str">
        <f t="shared" si="47"/>
        <v/>
      </c>
      <c r="T288" s="7"/>
      <c r="U288" s="7"/>
      <c r="V288" s="7"/>
      <c r="W288" s="7"/>
      <c r="X288" s="7"/>
      <c r="Y288" s="7"/>
      <c r="Z288" s="15"/>
      <c r="AA288" s="15"/>
      <c r="AB288" s="11" t="str">
        <f t="shared" si="48"/>
        <v/>
      </c>
      <c r="AC288" s="11"/>
      <c r="AD288" s="11"/>
      <c r="AE288" s="11"/>
      <c r="AF288" s="11"/>
      <c r="AG288" s="11"/>
      <c r="AH288" s="11"/>
      <c r="AI288" s="11"/>
      <c r="AJ288" s="15"/>
      <c r="AK288" s="15"/>
      <c r="AL288" s="14">
        <f t="shared" si="49"/>
        <v>3</v>
      </c>
      <c r="AM288" s="11">
        <f t="shared" si="50"/>
        <v>3</v>
      </c>
      <c r="AN288" s="14">
        <f t="shared" si="51"/>
        <v>3</v>
      </c>
      <c r="AO288" s="15"/>
      <c r="AP288" s="15"/>
      <c r="AQ288" s="15"/>
    </row>
    <row r="289" spans="1:43" ht="51" hidden="1" x14ac:dyDescent="0.2">
      <c r="A289" s="7">
        <v>288</v>
      </c>
      <c r="B289" s="19" t="s">
        <v>635</v>
      </c>
      <c r="C289" s="19" t="s">
        <v>636</v>
      </c>
      <c r="D289" s="8" t="s">
        <v>34</v>
      </c>
      <c r="E289" s="19" t="s">
        <v>269</v>
      </c>
      <c r="F289" s="8" t="s">
        <v>36</v>
      </c>
      <c r="G289" s="7" t="s">
        <v>59</v>
      </c>
      <c r="H289" s="9" t="s">
        <v>44</v>
      </c>
      <c r="I289" s="10"/>
      <c r="J289" s="10" t="s">
        <v>40</v>
      </c>
      <c r="K289" s="10" t="s">
        <v>40</v>
      </c>
      <c r="L289" s="10" t="s">
        <v>40</v>
      </c>
      <c r="M289">
        <v>0</v>
      </c>
      <c r="N289">
        <v>0</v>
      </c>
      <c r="O289">
        <v>0</v>
      </c>
      <c r="P289" s="10" t="s">
        <v>44</v>
      </c>
      <c r="Q289" s="10">
        <f t="array" ref="Q289">IFERROR(SUMPRODUCT((N289:P289&gt;0)*(N289:P289))/3, 0)</f>
        <v>0</v>
      </c>
      <c r="R289" s="10"/>
      <c r="S289" s="11" t="str">
        <f t="shared" si="47"/>
        <v/>
      </c>
      <c r="T289" s="7"/>
      <c r="U289" s="7"/>
      <c r="V289" s="7"/>
      <c r="W289" s="7"/>
      <c r="X289" s="7"/>
      <c r="Y289" s="7"/>
      <c r="Z289" s="15"/>
      <c r="AA289" s="15"/>
      <c r="AB289" s="11" t="str">
        <f t="shared" si="48"/>
        <v/>
      </c>
      <c r="AC289" s="11"/>
      <c r="AD289" s="11"/>
      <c r="AE289" s="11"/>
      <c r="AF289" s="11"/>
      <c r="AG289" s="11"/>
      <c r="AH289" s="11"/>
      <c r="AI289" s="11"/>
      <c r="AJ289" s="15"/>
      <c r="AK289" s="15"/>
      <c r="AL289" s="14">
        <f t="shared" si="49"/>
        <v>3</v>
      </c>
      <c r="AM289" s="11">
        <f t="shared" si="50"/>
        <v>3</v>
      </c>
      <c r="AN289" s="14">
        <f t="shared" si="51"/>
        <v>3</v>
      </c>
      <c r="AO289" s="15"/>
      <c r="AP289" s="15"/>
      <c r="AQ289" s="15"/>
    </row>
    <row r="290" spans="1:43" ht="51" hidden="1" x14ac:dyDescent="0.2">
      <c r="A290" s="7">
        <v>289</v>
      </c>
      <c r="B290" s="19" t="s">
        <v>637</v>
      </c>
      <c r="C290" s="19" t="s">
        <v>638</v>
      </c>
      <c r="D290" s="8" t="s">
        <v>34</v>
      </c>
      <c r="E290" s="19" t="s">
        <v>269</v>
      </c>
      <c r="F290" s="8" t="s">
        <v>36</v>
      </c>
      <c r="G290" s="7" t="s">
        <v>59</v>
      </c>
      <c r="H290" s="9" t="s">
        <v>44</v>
      </c>
      <c r="I290" s="10"/>
      <c r="J290" s="10" t="s">
        <v>40</v>
      </c>
      <c r="K290" s="10" t="s">
        <v>40</v>
      </c>
      <c r="L290" s="10" t="s">
        <v>40</v>
      </c>
      <c r="M290">
        <v>0</v>
      </c>
      <c r="N290">
        <v>0</v>
      </c>
      <c r="O290">
        <v>0</v>
      </c>
      <c r="P290" s="10" t="s">
        <v>44</v>
      </c>
      <c r="Q290" s="10">
        <f t="array" ref="Q290">IFERROR(SUMPRODUCT((N290:P290&gt;0)*(N290:P290))/3, 0)</f>
        <v>0</v>
      </c>
      <c r="R290" s="10"/>
      <c r="S290" s="11" t="str">
        <f t="shared" si="47"/>
        <v/>
      </c>
      <c r="T290" s="7"/>
      <c r="U290" s="7"/>
      <c r="V290" s="7"/>
      <c r="W290" s="7"/>
      <c r="X290" s="7"/>
      <c r="Y290" s="7"/>
      <c r="Z290" s="15"/>
      <c r="AA290" s="15"/>
      <c r="AB290" s="11" t="str">
        <f t="shared" si="48"/>
        <v/>
      </c>
      <c r="AC290" s="11"/>
      <c r="AD290" s="11"/>
      <c r="AE290" s="11"/>
      <c r="AF290" s="11"/>
      <c r="AG290" s="11"/>
      <c r="AH290" s="11"/>
      <c r="AI290" s="11"/>
      <c r="AJ290" s="15"/>
      <c r="AK290" s="15"/>
      <c r="AL290" s="14">
        <f t="shared" si="49"/>
        <v>3</v>
      </c>
      <c r="AM290" s="11">
        <f t="shared" si="50"/>
        <v>3</v>
      </c>
      <c r="AN290" s="14">
        <f t="shared" si="51"/>
        <v>3</v>
      </c>
      <c r="AO290" s="15"/>
      <c r="AP290" s="15"/>
      <c r="AQ290" s="15"/>
    </row>
    <row r="291" spans="1:43" ht="51" hidden="1" x14ac:dyDescent="0.2">
      <c r="A291" s="7">
        <v>290</v>
      </c>
      <c r="B291" s="19" t="s">
        <v>639</v>
      </c>
      <c r="C291" s="19" t="s">
        <v>640</v>
      </c>
      <c r="D291" s="8" t="s">
        <v>34</v>
      </c>
      <c r="E291" s="19" t="s">
        <v>269</v>
      </c>
      <c r="F291" s="8" t="s">
        <v>36</v>
      </c>
      <c r="G291" s="7" t="s">
        <v>59</v>
      </c>
      <c r="H291" s="9" t="s">
        <v>44</v>
      </c>
      <c r="I291" s="10"/>
      <c r="J291" s="10" t="s">
        <v>40</v>
      </c>
      <c r="K291" s="10" t="s">
        <v>40</v>
      </c>
      <c r="L291" s="10" t="s">
        <v>40</v>
      </c>
      <c r="M291">
        <v>0</v>
      </c>
      <c r="N291">
        <v>0</v>
      </c>
      <c r="O291">
        <v>0</v>
      </c>
      <c r="P291" s="10" t="s">
        <v>44</v>
      </c>
      <c r="Q291" s="10">
        <f t="array" ref="Q291">IFERROR(SUMPRODUCT((N291:P291&gt;0)*(N291:P291))/3, 0)</f>
        <v>0</v>
      </c>
      <c r="R291" s="10"/>
      <c r="S291" s="11" t="str">
        <f t="shared" si="47"/>
        <v/>
      </c>
      <c r="T291" s="7"/>
      <c r="U291" s="7"/>
      <c r="V291" s="7"/>
      <c r="W291" s="7"/>
      <c r="X291" s="7"/>
      <c r="Y291" s="7"/>
      <c r="Z291" s="15"/>
      <c r="AA291" s="15"/>
      <c r="AB291" s="11" t="str">
        <f t="shared" si="48"/>
        <v/>
      </c>
      <c r="AC291" s="11"/>
      <c r="AD291" s="11"/>
      <c r="AE291" s="11"/>
      <c r="AF291" s="11"/>
      <c r="AG291" s="11"/>
      <c r="AH291" s="11"/>
      <c r="AI291" s="11"/>
      <c r="AJ291" s="15"/>
      <c r="AK291" s="15"/>
      <c r="AL291" s="14">
        <f t="shared" si="49"/>
        <v>3</v>
      </c>
      <c r="AM291" s="11">
        <f t="shared" si="50"/>
        <v>3</v>
      </c>
      <c r="AN291" s="14">
        <f t="shared" si="51"/>
        <v>3</v>
      </c>
      <c r="AO291" s="15"/>
      <c r="AP291" s="15"/>
      <c r="AQ291" s="15"/>
    </row>
    <row r="292" spans="1:43" ht="51" hidden="1" x14ac:dyDescent="0.2">
      <c r="A292" s="7">
        <v>291</v>
      </c>
      <c r="B292" s="19" t="s">
        <v>641</v>
      </c>
      <c r="C292" s="19" t="s">
        <v>642</v>
      </c>
      <c r="D292" s="8" t="s">
        <v>34</v>
      </c>
      <c r="E292" s="19" t="s">
        <v>269</v>
      </c>
      <c r="F292" s="8" t="s">
        <v>36</v>
      </c>
      <c r="G292" s="7" t="s">
        <v>59</v>
      </c>
      <c r="H292" s="9" t="s">
        <v>44</v>
      </c>
      <c r="I292" s="10"/>
      <c r="J292" s="10" t="s">
        <v>40</v>
      </c>
      <c r="K292" s="10" t="s">
        <v>40</v>
      </c>
      <c r="L292" s="10" t="s">
        <v>40</v>
      </c>
      <c r="M292">
        <v>0</v>
      </c>
      <c r="N292">
        <v>0</v>
      </c>
      <c r="O292">
        <v>0</v>
      </c>
      <c r="P292" s="10" t="s">
        <v>44</v>
      </c>
      <c r="Q292" s="10">
        <f t="array" ref="Q292">IFERROR(SUMPRODUCT((N292:P292&gt;0)*(N292:P292))/3, 0)</f>
        <v>0</v>
      </c>
      <c r="R292" s="10"/>
      <c r="S292" s="11" t="str">
        <f t="shared" si="47"/>
        <v/>
      </c>
      <c r="T292" s="7"/>
      <c r="U292" s="7"/>
      <c r="V292" s="7"/>
      <c r="W292" s="7"/>
      <c r="X292" s="7"/>
      <c r="Y292" s="7"/>
      <c r="Z292" s="15"/>
      <c r="AA292" s="15"/>
      <c r="AB292" s="11" t="str">
        <f t="shared" si="48"/>
        <v/>
      </c>
      <c r="AC292" s="11"/>
      <c r="AD292" s="11"/>
      <c r="AE292" s="11"/>
      <c r="AF292" s="11"/>
      <c r="AG292" s="11"/>
      <c r="AH292" s="11"/>
      <c r="AI292" s="11"/>
      <c r="AJ292" s="15"/>
      <c r="AK292" s="15"/>
      <c r="AL292" s="14">
        <f t="shared" si="49"/>
        <v>3</v>
      </c>
      <c r="AM292" s="11">
        <f t="shared" si="50"/>
        <v>3</v>
      </c>
      <c r="AN292" s="14">
        <f t="shared" si="51"/>
        <v>3</v>
      </c>
      <c r="AO292" s="15"/>
      <c r="AP292" s="15"/>
      <c r="AQ292" s="15"/>
    </row>
    <row r="293" spans="1:43" ht="51" hidden="1" x14ac:dyDescent="0.2">
      <c r="A293" s="7">
        <v>292</v>
      </c>
      <c r="B293" s="19" t="s">
        <v>643</v>
      </c>
      <c r="C293" s="19" t="s">
        <v>644</v>
      </c>
      <c r="D293" s="8" t="s">
        <v>34</v>
      </c>
      <c r="E293" s="19" t="s">
        <v>269</v>
      </c>
      <c r="F293" s="8" t="s">
        <v>36</v>
      </c>
      <c r="G293" s="7" t="s">
        <v>59</v>
      </c>
      <c r="H293" s="9" t="s">
        <v>44</v>
      </c>
      <c r="I293" s="10"/>
      <c r="J293" s="10" t="s">
        <v>40</v>
      </c>
      <c r="K293" s="10" t="s">
        <v>40</v>
      </c>
      <c r="L293" s="10" t="s">
        <v>40</v>
      </c>
      <c r="M293">
        <v>0</v>
      </c>
      <c r="N293">
        <v>0</v>
      </c>
      <c r="O293">
        <v>0</v>
      </c>
      <c r="P293" s="10" t="s">
        <v>44</v>
      </c>
      <c r="Q293" s="10">
        <f t="array" ref="Q293">IFERROR(SUMPRODUCT((N293:P293&gt;0)*(N293:P293))/3, 0)</f>
        <v>0</v>
      </c>
      <c r="R293" s="10"/>
      <c r="S293" s="11" t="str">
        <f t="shared" si="47"/>
        <v/>
      </c>
      <c r="T293" s="7"/>
      <c r="U293" s="7"/>
      <c r="V293" s="7"/>
      <c r="W293" s="7"/>
      <c r="X293" s="7"/>
      <c r="Y293" s="7"/>
      <c r="Z293" s="15"/>
      <c r="AA293" s="15"/>
      <c r="AB293" s="11" t="str">
        <f t="shared" si="48"/>
        <v/>
      </c>
      <c r="AC293" s="11"/>
      <c r="AD293" s="11"/>
      <c r="AE293" s="11"/>
      <c r="AF293" s="11"/>
      <c r="AG293" s="11"/>
      <c r="AH293" s="11"/>
      <c r="AI293" s="11"/>
      <c r="AJ293" s="15"/>
      <c r="AK293" s="15"/>
      <c r="AL293" s="14">
        <f t="shared" si="49"/>
        <v>3</v>
      </c>
      <c r="AM293" s="11">
        <f t="shared" si="50"/>
        <v>3</v>
      </c>
      <c r="AN293" s="14">
        <f t="shared" si="51"/>
        <v>3</v>
      </c>
      <c r="AO293" s="15"/>
      <c r="AP293" s="15"/>
      <c r="AQ293" s="15"/>
    </row>
    <row r="294" spans="1:43" ht="51" hidden="1" x14ac:dyDescent="0.2">
      <c r="A294" s="7">
        <v>293</v>
      </c>
      <c r="B294" s="19" t="s">
        <v>645</v>
      </c>
      <c r="C294" s="19" t="s">
        <v>646</v>
      </c>
      <c r="D294" s="8" t="s">
        <v>34</v>
      </c>
      <c r="E294" s="19" t="s">
        <v>269</v>
      </c>
      <c r="F294" s="8" t="s">
        <v>36</v>
      </c>
      <c r="G294" s="7" t="s">
        <v>59</v>
      </c>
      <c r="H294" s="9" t="s">
        <v>44</v>
      </c>
      <c r="I294" s="10"/>
      <c r="J294" s="10" t="s">
        <v>40</v>
      </c>
      <c r="K294" s="10" t="s">
        <v>40</v>
      </c>
      <c r="L294" s="10" t="s">
        <v>40</v>
      </c>
      <c r="M294">
        <v>0</v>
      </c>
      <c r="N294">
        <v>0</v>
      </c>
      <c r="O294">
        <v>0</v>
      </c>
      <c r="P294" s="10" t="s">
        <v>44</v>
      </c>
      <c r="Q294" s="10">
        <f t="array" ref="Q294">IFERROR(SUMPRODUCT((N294:P294&gt;0)*(N294:P294))/3, 0)</f>
        <v>0</v>
      </c>
      <c r="R294" s="10"/>
      <c r="S294" s="11" t="str">
        <f t="shared" si="47"/>
        <v/>
      </c>
      <c r="T294" s="7"/>
      <c r="U294" s="7"/>
      <c r="V294" s="7"/>
      <c r="W294" s="7"/>
      <c r="X294" s="7"/>
      <c r="Y294" s="7"/>
      <c r="Z294" s="15"/>
      <c r="AA294" s="15"/>
      <c r="AB294" s="11" t="str">
        <f t="shared" si="48"/>
        <v/>
      </c>
      <c r="AC294" s="11"/>
      <c r="AD294" s="11"/>
      <c r="AE294" s="11"/>
      <c r="AF294" s="11"/>
      <c r="AG294" s="11"/>
      <c r="AH294" s="11"/>
      <c r="AI294" s="11"/>
      <c r="AJ294" s="15"/>
      <c r="AK294" s="15"/>
      <c r="AL294" s="14">
        <f t="shared" si="49"/>
        <v>3</v>
      </c>
      <c r="AM294" s="11">
        <f t="shared" si="50"/>
        <v>3</v>
      </c>
      <c r="AN294" s="14">
        <f t="shared" si="51"/>
        <v>3</v>
      </c>
      <c r="AO294" s="15"/>
      <c r="AP294" s="15"/>
      <c r="AQ294" s="15"/>
    </row>
    <row r="295" spans="1:43" ht="68" hidden="1" x14ac:dyDescent="0.2">
      <c r="A295" s="7">
        <v>294</v>
      </c>
      <c r="B295" s="19" t="s">
        <v>647</v>
      </c>
      <c r="C295" s="19" t="s">
        <v>648</v>
      </c>
      <c r="D295" s="8" t="s">
        <v>34</v>
      </c>
      <c r="E295" s="19" t="s">
        <v>269</v>
      </c>
      <c r="F295" s="8" t="s">
        <v>36</v>
      </c>
      <c r="G295" s="7" t="s">
        <v>59</v>
      </c>
      <c r="H295" s="9" t="s">
        <v>44</v>
      </c>
      <c r="I295" s="10"/>
      <c r="J295" s="10" t="s">
        <v>40</v>
      </c>
      <c r="K295" s="10" t="s">
        <v>40</v>
      </c>
      <c r="L295" s="10" t="s">
        <v>40</v>
      </c>
      <c r="M295">
        <v>0</v>
      </c>
      <c r="N295">
        <v>0</v>
      </c>
      <c r="O295">
        <v>0</v>
      </c>
      <c r="P295" s="10" t="s">
        <v>44</v>
      </c>
      <c r="Q295" s="10">
        <f t="array" ref="Q295">IFERROR(SUMPRODUCT((N295:P295&gt;0)*(N295:P295))/3, 0)</f>
        <v>0</v>
      </c>
      <c r="R295" s="10"/>
      <c r="S295" s="11" t="str">
        <f t="shared" si="47"/>
        <v/>
      </c>
      <c r="T295" s="7"/>
      <c r="U295" s="7"/>
      <c r="V295" s="7"/>
      <c r="W295" s="7"/>
      <c r="X295" s="7"/>
      <c r="Y295" s="7"/>
      <c r="Z295" s="15"/>
      <c r="AA295" s="15"/>
      <c r="AB295" s="11" t="str">
        <f t="shared" si="48"/>
        <v/>
      </c>
      <c r="AC295" s="11"/>
      <c r="AD295" s="11"/>
      <c r="AE295" s="11"/>
      <c r="AF295" s="11"/>
      <c r="AG295" s="11"/>
      <c r="AH295" s="11"/>
      <c r="AI295" s="11"/>
      <c r="AJ295" s="15"/>
      <c r="AK295" s="15"/>
      <c r="AL295" s="14">
        <f t="shared" si="49"/>
        <v>3</v>
      </c>
      <c r="AM295" s="11">
        <f t="shared" si="50"/>
        <v>3</v>
      </c>
      <c r="AN295" s="14">
        <f t="shared" si="51"/>
        <v>3</v>
      </c>
      <c r="AO295" s="15"/>
      <c r="AP295" s="15"/>
      <c r="AQ295" s="15"/>
    </row>
    <row r="296" spans="1:43" ht="51" hidden="1" x14ac:dyDescent="0.2">
      <c r="A296" s="7">
        <v>295</v>
      </c>
      <c r="B296" s="19" t="s">
        <v>649</v>
      </c>
      <c r="C296" s="19" t="s">
        <v>650</v>
      </c>
      <c r="D296" s="8" t="s">
        <v>34</v>
      </c>
      <c r="E296" s="19" t="s">
        <v>269</v>
      </c>
      <c r="F296" s="8" t="s">
        <v>36</v>
      </c>
      <c r="G296" s="7" t="s">
        <v>59</v>
      </c>
      <c r="H296" s="9" t="s">
        <v>44</v>
      </c>
      <c r="I296" s="10"/>
      <c r="J296" s="10" t="s">
        <v>40</v>
      </c>
      <c r="K296" s="10" t="s">
        <v>40</v>
      </c>
      <c r="L296" s="10" t="s">
        <v>40</v>
      </c>
      <c r="M296">
        <v>0</v>
      </c>
      <c r="N296">
        <v>0</v>
      </c>
      <c r="O296">
        <v>0</v>
      </c>
      <c r="P296" s="10" t="s">
        <v>44</v>
      </c>
      <c r="Q296" s="10">
        <f t="array" ref="Q296">IFERROR(SUMPRODUCT((N296:P296&gt;0)*(N296:P296))/3, 0)</f>
        <v>0</v>
      </c>
      <c r="R296" s="10"/>
      <c r="S296" s="11" t="str">
        <f t="shared" si="47"/>
        <v/>
      </c>
      <c r="T296" s="7"/>
      <c r="U296" s="7"/>
      <c r="V296" s="7"/>
      <c r="W296" s="7"/>
      <c r="X296" s="7"/>
      <c r="Y296" s="7"/>
      <c r="Z296" s="15"/>
      <c r="AA296" s="15"/>
      <c r="AB296" s="11" t="str">
        <f t="shared" si="48"/>
        <v/>
      </c>
      <c r="AC296" s="11"/>
      <c r="AD296" s="11"/>
      <c r="AE296" s="11"/>
      <c r="AF296" s="11"/>
      <c r="AG296" s="11"/>
      <c r="AH296" s="11"/>
      <c r="AI296" s="11"/>
      <c r="AJ296" s="15"/>
      <c r="AK296" s="15"/>
      <c r="AL296" s="14">
        <f t="shared" si="49"/>
        <v>3</v>
      </c>
      <c r="AM296" s="11">
        <f t="shared" si="50"/>
        <v>3</v>
      </c>
      <c r="AN296" s="14">
        <f t="shared" si="51"/>
        <v>3</v>
      </c>
      <c r="AO296" s="15"/>
      <c r="AP296" s="15"/>
      <c r="AQ296" s="15"/>
    </row>
    <row r="297" spans="1:43" ht="51" hidden="1" x14ac:dyDescent="0.2">
      <c r="A297" s="7">
        <v>296</v>
      </c>
      <c r="B297" s="19" t="s">
        <v>651</v>
      </c>
      <c r="C297" s="19" t="s">
        <v>652</v>
      </c>
      <c r="D297" s="8" t="s">
        <v>34</v>
      </c>
      <c r="E297" s="19" t="s">
        <v>269</v>
      </c>
      <c r="F297" s="8" t="s">
        <v>36</v>
      </c>
      <c r="G297" s="7" t="s">
        <v>59</v>
      </c>
      <c r="H297" s="9" t="s">
        <v>44</v>
      </c>
      <c r="I297" s="10"/>
      <c r="J297" s="10" t="s">
        <v>40</v>
      </c>
      <c r="K297" s="10" t="s">
        <v>40</v>
      </c>
      <c r="L297" s="10" t="s">
        <v>40</v>
      </c>
      <c r="M297">
        <v>0</v>
      </c>
      <c r="N297">
        <v>0</v>
      </c>
      <c r="O297">
        <v>0</v>
      </c>
      <c r="P297" s="10" t="s">
        <v>44</v>
      </c>
      <c r="Q297" s="10">
        <f t="array" ref="Q297">IFERROR(SUMPRODUCT((N297:P297&gt;0)*(N297:P297))/3, 0)</f>
        <v>0</v>
      </c>
      <c r="R297" s="10"/>
      <c r="S297" s="11" t="str">
        <f t="shared" si="47"/>
        <v/>
      </c>
      <c r="T297" s="7"/>
      <c r="U297" s="7"/>
      <c r="V297" s="7"/>
      <c r="W297" s="7"/>
      <c r="X297" s="7"/>
      <c r="Y297" s="7"/>
      <c r="Z297" s="15"/>
      <c r="AA297" s="15"/>
      <c r="AB297" s="11" t="str">
        <f t="shared" si="48"/>
        <v/>
      </c>
      <c r="AC297" s="11"/>
      <c r="AD297" s="11"/>
      <c r="AE297" s="11"/>
      <c r="AF297" s="11"/>
      <c r="AG297" s="11"/>
      <c r="AH297" s="11"/>
      <c r="AI297" s="11"/>
      <c r="AJ297" s="15"/>
      <c r="AK297" s="15"/>
      <c r="AL297" s="14">
        <f t="shared" si="49"/>
        <v>3</v>
      </c>
      <c r="AM297" s="11">
        <f t="shared" si="50"/>
        <v>3</v>
      </c>
      <c r="AN297" s="14">
        <f t="shared" si="51"/>
        <v>3</v>
      </c>
      <c r="AO297" s="15"/>
      <c r="AP297" s="15"/>
      <c r="AQ297" s="15"/>
    </row>
    <row r="298" spans="1:43" ht="51" hidden="1" x14ac:dyDescent="0.2">
      <c r="A298" s="7">
        <v>297</v>
      </c>
      <c r="B298" s="19" t="s">
        <v>653</v>
      </c>
      <c r="C298" s="19" t="s">
        <v>654</v>
      </c>
      <c r="D298" s="8" t="s">
        <v>34</v>
      </c>
      <c r="E298" s="19" t="s">
        <v>269</v>
      </c>
      <c r="F298" s="8" t="s">
        <v>36</v>
      </c>
      <c r="G298" s="7" t="s">
        <v>59</v>
      </c>
      <c r="H298" s="9" t="s">
        <v>44</v>
      </c>
      <c r="I298" s="10"/>
      <c r="J298" s="10" t="s">
        <v>40</v>
      </c>
      <c r="K298" s="10" t="s">
        <v>40</v>
      </c>
      <c r="L298" s="10" t="s">
        <v>40</v>
      </c>
      <c r="M298">
        <v>0</v>
      </c>
      <c r="N298">
        <v>0</v>
      </c>
      <c r="O298">
        <v>0</v>
      </c>
      <c r="P298" s="10" t="s">
        <v>44</v>
      </c>
      <c r="Q298" s="10">
        <f t="array" ref="Q298">IFERROR(SUMPRODUCT((N298:P298&gt;0)*(N298:P298))/3, 0)</f>
        <v>0</v>
      </c>
      <c r="R298" s="10"/>
      <c r="S298" s="11" t="str">
        <f t="shared" si="47"/>
        <v/>
      </c>
      <c r="T298" s="7"/>
      <c r="U298" s="7"/>
      <c r="V298" s="7"/>
      <c r="W298" s="7"/>
      <c r="X298" s="7"/>
      <c r="Y298" s="7"/>
      <c r="Z298" s="15"/>
      <c r="AA298" s="15"/>
      <c r="AB298" s="11" t="str">
        <f t="shared" si="48"/>
        <v/>
      </c>
      <c r="AC298" s="11"/>
      <c r="AD298" s="11"/>
      <c r="AE298" s="11"/>
      <c r="AF298" s="11"/>
      <c r="AG298" s="11"/>
      <c r="AH298" s="11"/>
      <c r="AI298" s="11"/>
      <c r="AJ298" s="15"/>
      <c r="AK298" s="15"/>
      <c r="AL298" s="14">
        <f t="shared" si="49"/>
        <v>3</v>
      </c>
      <c r="AM298" s="11">
        <f t="shared" si="50"/>
        <v>3</v>
      </c>
      <c r="AN298" s="14">
        <f t="shared" si="51"/>
        <v>3</v>
      </c>
      <c r="AO298" s="15"/>
      <c r="AP298" s="15"/>
      <c r="AQ298" s="15"/>
    </row>
    <row r="299" spans="1:43" ht="51" hidden="1" x14ac:dyDescent="0.2">
      <c r="A299" s="7">
        <v>298</v>
      </c>
      <c r="B299" s="19" t="s">
        <v>655</v>
      </c>
      <c r="C299" s="19" t="s">
        <v>656</v>
      </c>
      <c r="D299" s="8" t="s">
        <v>34</v>
      </c>
      <c r="E299" s="19" t="s">
        <v>269</v>
      </c>
      <c r="F299" s="8" t="s">
        <v>36</v>
      </c>
      <c r="G299" s="7" t="s">
        <v>59</v>
      </c>
      <c r="H299" s="9" t="s">
        <v>44</v>
      </c>
      <c r="I299" s="10"/>
      <c r="J299" s="10" t="s">
        <v>40</v>
      </c>
      <c r="K299" s="10" t="s">
        <v>40</v>
      </c>
      <c r="L299" s="10" t="s">
        <v>40</v>
      </c>
      <c r="M299">
        <v>0</v>
      </c>
      <c r="N299">
        <v>0</v>
      </c>
      <c r="O299">
        <v>0</v>
      </c>
      <c r="P299" s="10" t="s">
        <v>44</v>
      </c>
      <c r="Q299" s="10">
        <f t="array" ref="Q299">IFERROR(SUMPRODUCT((N299:P299&gt;0)*(N299:P299))/3, 0)</f>
        <v>0</v>
      </c>
      <c r="R299" s="10"/>
      <c r="S299" s="11" t="str">
        <f t="shared" si="47"/>
        <v/>
      </c>
      <c r="T299" s="7"/>
      <c r="U299" s="7"/>
      <c r="V299" s="7"/>
      <c r="W299" s="7"/>
      <c r="X299" s="7"/>
      <c r="Y299" s="7"/>
      <c r="Z299" s="15"/>
      <c r="AA299" s="15"/>
      <c r="AB299" s="11" t="str">
        <f t="shared" si="48"/>
        <v/>
      </c>
      <c r="AC299" s="11"/>
      <c r="AD299" s="11"/>
      <c r="AE299" s="11"/>
      <c r="AF299" s="11"/>
      <c r="AG299" s="11"/>
      <c r="AH299" s="11"/>
      <c r="AI299" s="11"/>
      <c r="AJ299" s="15"/>
      <c r="AK299" s="15"/>
      <c r="AL299" s="14">
        <f t="shared" si="49"/>
        <v>3</v>
      </c>
      <c r="AM299" s="11">
        <f t="shared" si="50"/>
        <v>3</v>
      </c>
      <c r="AN299" s="14">
        <f t="shared" si="51"/>
        <v>3</v>
      </c>
      <c r="AO299" s="15"/>
      <c r="AP299" s="15"/>
      <c r="AQ299" s="15"/>
    </row>
    <row r="300" spans="1:43" ht="51" hidden="1" x14ac:dyDescent="0.2">
      <c r="A300" s="7">
        <v>299</v>
      </c>
      <c r="B300" s="19" t="s">
        <v>657</v>
      </c>
      <c r="C300" s="19" t="s">
        <v>658</v>
      </c>
      <c r="D300" s="8" t="s">
        <v>34</v>
      </c>
      <c r="E300" s="19" t="s">
        <v>269</v>
      </c>
      <c r="F300" s="8" t="s">
        <v>36</v>
      </c>
      <c r="G300" s="7" t="s">
        <v>59</v>
      </c>
      <c r="H300" s="9" t="s">
        <v>44</v>
      </c>
      <c r="I300" s="10"/>
      <c r="J300" s="10" t="s">
        <v>40</v>
      </c>
      <c r="K300" s="10" t="s">
        <v>40</v>
      </c>
      <c r="L300" s="10" t="s">
        <v>40</v>
      </c>
      <c r="M300">
        <v>0</v>
      </c>
      <c r="N300">
        <v>0</v>
      </c>
      <c r="O300">
        <v>0</v>
      </c>
      <c r="P300" s="10" t="s">
        <v>44</v>
      </c>
      <c r="Q300" s="10">
        <f t="array" ref="Q300">IFERROR(SUMPRODUCT((N300:P300&gt;0)*(N300:P300))/3, 0)</f>
        <v>0</v>
      </c>
      <c r="R300" s="10"/>
      <c r="S300" s="11" t="str">
        <f t="shared" si="47"/>
        <v/>
      </c>
      <c r="T300" s="7"/>
      <c r="U300" s="7"/>
      <c r="V300" s="7"/>
      <c r="W300" s="7"/>
      <c r="X300" s="7"/>
      <c r="Y300" s="7"/>
      <c r="Z300" s="15"/>
      <c r="AA300" s="15"/>
      <c r="AB300" s="11" t="str">
        <f t="shared" si="48"/>
        <v/>
      </c>
      <c r="AC300" s="11"/>
      <c r="AD300" s="11"/>
      <c r="AE300" s="11"/>
      <c r="AF300" s="11"/>
      <c r="AG300" s="11"/>
      <c r="AH300" s="11"/>
      <c r="AI300" s="11"/>
      <c r="AJ300" s="15"/>
      <c r="AK300" s="15"/>
      <c r="AL300" s="14">
        <f t="shared" si="49"/>
        <v>3</v>
      </c>
      <c r="AM300" s="11">
        <f t="shared" si="50"/>
        <v>3</v>
      </c>
      <c r="AN300" s="14">
        <f t="shared" si="51"/>
        <v>3</v>
      </c>
      <c r="AO300" s="15"/>
      <c r="AP300" s="15"/>
      <c r="AQ300" s="15"/>
    </row>
    <row r="301" spans="1:43" ht="51" hidden="1" x14ac:dyDescent="0.2">
      <c r="A301" s="7">
        <v>300</v>
      </c>
      <c r="B301" s="19" t="s">
        <v>659</v>
      </c>
      <c r="C301" s="19" t="s">
        <v>660</v>
      </c>
      <c r="D301" s="8" t="s">
        <v>34</v>
      </c>
      <c r="E301" s="19" t="s">
        <v>269</v>
      </c>
      <c r="F301" s="8" t="s">
        <v>36</v>
      </c>
      <c r="G301" s="7" t="s">
        <v>59</v>
      </c>
      <c r="H301" s="9" t="s">
        <v>44</v>
      </c>
      <c r="I301" s="10"/>
      <c r="J301" s="10" t="s">
        <v>40</v>
      </c>
      <c r="K301" s="10" t="s">
        <v>40</v>
      </c>
      <c r="L301" s="10" t="s">
        <v>40</v>
      </c>
      <c r="M301">
        <v>0</v>
      </c>
      <c r="N301">
        <v>0</v>
      </c>
      <c r="O301">
        <v>0</v>
      </c>
      <c r="P301" s="10" t="s">
        <v>44</v>
      </c>
      <c r="Q301" s="10">
        <f t="array" ref="Q301">IFERROR(SUMPRODUCT((N301:P301&gt;0)*(N301:P301))/3, 0)</f>
        <v>0</v>
      </c>
      <c r="R301" s="10"/>
      <c r="S301" s="11" t="str">
        <f t="shared" si="47"/>
        <v/>
      </c>
      <c r="T301" s="7"/>
      <c r="U301" s="7"/>
      <c r="V301" s="7"/>
      <c r="W301" s="7"/>
      <c r="X301" s="7"/>
      <c r="Y301" s="7"/>
      <c r="Z301" s="15"/>
      <c r="AA301" s="15"/>
      <c r="AB301" s="11" t="str">
        <f t="shared" si="48"/>
        <v/>
      </c>
      <c r="AC301" s="11"/>
      <c r="AD301" s="11"/>
      <c r="AE301" s="11"/>
      <c r="AF301" s="11"/>
      <c r="AG301" s="11"/>
      <c r="AH301" s="11"/>
      <c r="AI301" s="11"/>
      <c r="AJ301" s="15"/>
      <c r="AK301" s="15"/>
      <c r="AL301" s="14">
        <f t="shared" si="49"/>
        <v>3</v>
      </c>
      <c r="AM301" s="11">
        <f t="shared" si="50"/>
        <v>3</v>
      </c>
      <c r="AN301" s="14">
        <f t="shared" si="51"/>
        <v>3</v>
      </c>
      <c r="AO301" s="15"/>
      <c r="AP301" s="15"/>
      <c r="AQ301" s="15"/>
    </row>
    <row r="302" spans="1:43" ht="51" hidden="1" x14ac:dyDescent="0.2">
      <c r="A302" s="7">
        <v>301</v>
      </c>
      <c r="B302" s="19" t="s">
        <v>661</v>
      </c>
      <c r="C302" s="19" t="s">
        <v>662</v>
      </c>
      <c r="D302" s="8" t="s">
        <v>34</v>
      </c>
      <c r="E302" s="19" t="s">
        <v>269</v>
      </c>
      <c r="F302" s="8" t="s">
        <v>36</v>
      </c>
      <c r="G302" s="7" t="s">
        <v>59</v>
      </c>
      <c r="H302" s="9" t="s">
        <v>44</v>
      </c>
      <c r="I302" s="10"/>
      <c r="J302" s="10" t="s">
        <v>40</v>
      </c>
      <c r="K302" s="10" t="s">
        <v>40</v>
      </c>
      <c r="L302" s="10" t="s">
        <v>40</v>
      </c>
      <c r="M302">
        <v>0</v>
      </c>
      <c r="N302">
        <v>0</v>
      </c>
      <c r="O302">
        <v>0</v>
      </c>
      <c r="P302" s="10" t="s">
        <v>44</v>
      </c>
      <c r="Q302" s="10">
        <f t="array" ref="Q302">IFERROR(SUMPRODUCT((N302:P302&gt;0)*(N302:P302))/3, 0)</f>
        <v>0</v>
      </c>
      <c r="R302" s="10"/>
      <c r="S302" s="11" t="str">
        <f t="shared" si="47"/>
        <v/>
      </c>
      <c r="T302" s="7"/>
      <c r="U302" s="7"/>
      <c r="V302" s="7"/>
      <c r="W302" s="7"/>
      <c r="X302" s="7"/>
      <c r="Y302" s="7"/>
      <c r="Z302" s="15"/>
      <c r="AA302" s="15"/>
      <c r="AB302" s="11" t="str">
        <f t="shared" si="48"/>
        <v/>
      </c>
      <c r="AC302" s="11"/>
      <c r="AD302" s="11"/>
      <c r="AE302" s="11"/>
      <c r="AF302" s="11"/>
      <c r="AG302" s="11"/>
      <c r="AH302" s="11"/>
      <c r="AI302" s="11"/>
      <c r="AJ302" s="15"/>
      <c r="AK302" s="15"/>
      <c r="AL302" s="14">
        <f t="shared" si="49"/>
        <v>3</v>
      </c>
      <c r="AM302" s="11">
        <f t="shared" si="50"/>
        <v>3</v>
      </c>
      <c r="AN302" s="14">
        <f t="shared" si="51"/>
        <v>3</v>
      </c>
      <c r="AO302" s="15"/>
      <c r="AP302" s="15"/>
      <c r="AQ302" s="15"/>
    </row>
    <row r="303" spans="1:43" ht="51" hidden="1" x14ac:dyDescent="0.2">
      <c r="A303" s="7">
        <v>302</v>
      </c>
      <c r="B303" s="19" t="s">
        <v>663</v>
      </c>
      <c r="C303" s="19" t="s">
        <v>664</v>
      </c>
      <c r="D303" s="8" t="s">
        <v>34</v>
      </c>
      <c r="E303" s="19" t="s">
        <v>269</v>
      </c>
      <c r="F303" s="8" t="s">
        <v>36</v>
      </c>
      <c r="G303" s="7" t="s">
        <v>59</v>
      </c>
      <c r="H303" s="9" t="s">
        <v>44</v>
      </c>
      <c r="I303" s="10"/>
      <c r="J303" s="10" t="s">
        <v>40</v>
      </c>
      <c r="K303" s="10" t="s">
        <v>40</v>
      </c>
      <c r="L303" s="10" t="s">
        <v>40</v>
      </c>
      <c r="M303">
        <v>0</v>
      </c>
      <c r="N303">
        <v>0</v>
      </c>
      <c r="O303">
        <v>0</v>
      </c>
      <c r="P303" s="10" t="s">
        <v>44</v>
      </c>
      <c r="Q303" s="10">
        <f t="array" ref="Q303">IFERROR(SUMPRODUCT((N303:P303&gt;0)*(N303:P303))/3, 0)</f>
        <v>0</v>
      </c>
      <c r="R303" s="10"/>
      <c r="S303" s="11" t="str">
        <f t="shared" si="47"/>
        <v/>
      </c>
      <c r="T303" s="7"/>
      <c r="U303" s="7"/>
      <c r="V303" s="7"/>
      <c r="W303" s="7"/>
      <c r="X303" s="7"/>
      <c r="Y303" s="7"/>
      <c r="Z303" s="15"/>
      <c r="AA303" s="15"/>
      <c r="AB303" s="11" t="str">
        <f t="shared" si="48"/>
        <v/>
      </c>
      <c r="AC303" s="11"/>
      <c r="AD303" s="11"/>
      <c r="AE303" s="11"/>
      <c r="AF303" s="11"/>
      <c r="AG303" s="11"/>
      <c r="AH303" s="11"/>
      <c r="AI303" s="11"/>
      <c r="AJ303" s="15"/>
      <c r="AK303" s="15"/>
      <c r="AL303" s="14">
        <f t="shared" si="49"/>
        <v>3</v>
      </c>
      <c r="AM303" s="11">
        <f t="shared" si="50"/>
        <v>3</v>
      </c>
      <c r="AN303" s="14">
        <f t="shared" si="51"/>
        <v>3</v>
      </c>
      <c r="AO303" s="15"/>
      <c r="AP303" s="15"/>
      <c r="AQ303" s="15"/>
    </row>
    <row r="304" spans="1:43" ht="51" hidden="1" x14ac:dyDescent="0.2">
      <c r="A304" s="7">
        <v>303</v>
      </c>
      <c r="B304" s="19" t="s">
        <v>665</v>
      </c>
      <c r="C304" s="19" t="s">
        <v>666</v>
      </c>
      <c r="D304" s="8" t="s">
        <v>34</v>
      </c>
      <c r="E304" s="19" t="s">
        <v>269</v>
      </c>
      <c r="F304" s="8" t="s">
        <v>36</v>
      </c>
      <c r="G304" s="7" t="s">
        <v>59</v>
      </c>
      <c r="H304" s="9" t="s">
        <v>44</v>
      </c>
      <c r="I304" s="10"/>
      <c r="J304" s="10" t="s">
        <v>40</v>
      </c>
      <c r="K304" s="10" t="s">
        <v>40</v>
      </c>
      <c r="L304" s="10" t="s">
        <v>40</v>
      </c>
      <c r="M304">
        <v>0</v>
      </c>
      <c r="N304">
        <v>0</v>
      </c>
      <c r="O304">
        <v>0</v>
      </c>
      <c r="P304" s="10" t="s">
        <v>44</v>
      </c>
      <c r="Q304" s="10">
        <f t="array" ref="Q304">IFERROR(SUMPRODUCT((N304:P304&gt;0)*(N304:P304))/3, 0)</f>
        <v>0</v>
      </c>
      <c r="R304" s="10"/>
      <c r="S304" s="11" t="str">
        <f t="shared" si="47"/>
        <v/>
      </c>
      <c r="T304" s="7"/>
      <c r="U304" s="7"/>
      <c r="V304" s="7"/>
      <c r="W304" s="7"/>
      <c r="X304" s="7"/>
      <c r="Y304" s="7"/>
      <c r="Z304" s="15"/>
      <c r="AA304" s="15"/>
      <c r="AB304" s="11" t="str">
        <f t="shared" si="48"/>
        <v/>
      </c>
      <c r="AC304" s="11"/>
      <c r="AD304" s="11"/>
      <c r="AE304" s="11"/>
      <c r="AF304" s="11"/>
      <c r="AG304" s="11"/>
      <c r="AH304" s="11"/>
      <c r="AI304" s="11"/>
      <c r="AJ304" s="15"/>
      <c r="AK304" s="15"/>
      <c r="AL304" s="14">
        <f t="shared" si="49"/>
        <v>3</v>
      </c>
      <c r="AM304" s="11">
        <f t="shared" si="50"/>
        <v>3</v>
      </c>
      <c r="AN304" s="14">
        <f t="shared" si="51"/>
        <v>3</v>
      </c>
      <c r="AO304" s="15"/>
      <c r="AP304" s="15"/>
      <c r="AQ304" s="15"/>
    </row>
    <row r="305" spans="1:43" ht="51" hidden="1" x14ac:dyDescent="0.2">
      <c r="A305" s="7">
        <v>304</v>
      </c>
      <c r="B305" s="19" t="s">
        <v>667</v>
      </c>
      <c r="C305" s="19" t="s">
        <v>668</v>
      </c>
      <c r="D305" s="8" t="s">
        <v>34</v>
      </c>
      <c r="E305" s="19" t="s">
        <v>269</v>
      </c>
      <c r="F305" s="8" t="s">
        <v>36</v>
      </c>
      <c r="G305" s="7" t="s">
        <v>59</v>
      </c>
      <c r="H305" s="9" t="s">
        <v>44</v>
      </c>
      <c r="I305" s="10"/>
      <c r="J305" s="10" t="s">
        <v>40</v>
      </c>
      <c r="K305" s="10" t="s">
        <v>40</v>
      </c>
      <c r="L305" s="10" t="s">
        <v>40</v>
      </c>
      <c r="M305">
        <v>0</v>
      </c>
      <c r="N305">
        <v>0</v>
      </c>
      <c r="O305">
        <v>0</v>
      </c>
      <c r="P305" s="10" t="s">
        <v>44</v>
      </c>
      <c r="Q305" s="10">
        <f t="array" ref="Q305">IFERROR(SUMPRODUCT((N305:P305&gt;0)*(N305:P305))/3, 0)</f>
        <v>0</v>
      </c>
      <c r="R305" s="10"/>
      <c r="S305" s="11" t="str">
        <f t="shared" si="47"/>
        <v/>
      </c>
      <c r="T305" s="7"/>
      <c r="U305" s="7"/>
      <c r="V305" s="7"/>
      <c r="W305" s="7"/>
      <c r="X305" s="7"/>
      <c r="Y305" s="7"/>
      <c r="Z305" s="15"/>
      <c r="AA305" s="15"/>
      <c r="AB305" s="11" t="str">
        <f t="shared" si="48"/>
        <v/>
      </c>
      <c r="AC305" s="11"/>
      <c r="AD305" s="11"/>
      <c r="AE305" s="11"/>
      <c r="AF305" s="11"/>
      <c r="AG305" s="11"/>
      <c r="AH305" s="11"/>
      <c r="AI305" s="11"/>
      <c r="AJ305" s="15"/>
      <c r="AK305" s="15"/>
      <c r="AL305" s="14">
        <f t="shared" si="49"/>
        <v>3</v>
      </c>
      <c r="AM305" s="11">
        <f t="shared" si="50"/>
        <v>3</v>
      </c>
      <c r="AN305" s="14">
        <f t="shared" si="51"/>
        <v>3</v>
      </c>
      <c r="AO305" s="15"/>
      <c r="AP305" s="15"/>
      <c r="AQ305" s="15"/>
    </row>
    <row r="306" spans="1:43" ht="51" hidden="1" x14ac:dyDescent="0.2">
      <c r="A306" s="7">
        <v>305</v>
      </c>
      <c r="B306" s="19" t="s">
        <v>669</v>
      </c>
      <c r="C306" s="19" t="s">
        <v>670</v>
      </c>
      <c r="D306" s="8" t="s">
        <v>34</v>
      </c>
      <c r="E306" s="19" t="s">
        <v>269</v>
      </c>
      <c r="F306" s="8" t="s">
        <v>36</v>
      </c>
      <c r="G306" s="7" t="s">
        <v>59</v>
      </c>
      <c r="H306" s="9" t="s">
        <v>44</v>
      </c>
      <c r="I306" s="10"/>
      <c r="J306" s="10" t="s">
        <v>40</v>
      </c>
      <c r="K306" s="10" t="s">
        <v>40</v>
      </c>
      <c r="L306" s="10" t="s">
        <v>40</v>
      </c>
      <c r="M306">
        <v>0</v>
      </c>
      <c r="N306">
        <v>0</v>
      </c>
      <c r="O306">
        <v>0</v>
      </c>
      <c r="P306" s="10" t="s">
        <v>44</v>
      </c>
      <c r="Q306" s="10">
        <f t="array" ref="Q306">IFERROR(SUMPRODUCT((N306:P306&gt;0)*(N306:P306))/3, 0)</f>
        <v>0</v>
      </c>
      <c r="R306" s="10"/>
      <c r="S306" s="11" t="str">
        <f t="shared" si="47"/>
        <v/>
      </c>
      <c r="T306" s="7"/>
      <c r="U306" s="7"/>
      <c r="V306" s="7"/>
      <c r="W306" s="7"/>
      <c r="X306" s="7"/>
      <c r="Y306" s="7"/>
      <c r="Z306" s="15"/>
      <c r="AA306" s="15"/>
      <c r="AB306" s="11" t="str">
        <f t="shared" si="48"/>
        <v/>
      </c>
      <c r="AC306" s="11"/>
      <c r="AD306" s="11"/>
      <c r="AE306" s="11"/>
      <c r="AF306" s="11"/>
      <c r="AG306" s="11"/>
      <c r="AH306" s="11"/>
      <c r="AI306" s="11"/>
      <c r="AJ306" s="15"/>
      <c r="AK306" s="15"/>
      <c r="AL306" s="14">
        <f t="shared" si="49"/>
        <v>3</v>
      </c>
      <c r="AM306" s="11">
        <f t="shared" si="50"/>
        <v>3</v>
      </c>
      <c r="AN306" s="14">
        <f t="shared" si="51"/>
        <v>3</v>
      </c>
      <c r="AO306" s="15"/>
      <c r="AP306" s="15"/>
      <c r="AQ306" s="15"/>
    </row>
    <row r="307" spans="1:43" ht="51" hidden="1" x14ac:dyDescent="0.2">
      <c r="A307" s="7">
        <v>306</v>
      </c>
      <c r="B307" s="19" t="s">
        <v>671</v>
      </c>
      <c r="C307" s="19" t="s">
        <v>672</v>
      </c>
      <c r="D307" s="8" t="s">
        <v>34</v>
      </c>
      <c r="E307" s="19" t="s">
        <v>269</v>
      </c>
      <c r="F307" s="8" t="s">
        <v>36</v>
      </c>
      <c r="G307" s="7" t="s">
        <v>59</v>
      </c>
      <c r="H307" s="9" t="s">
        <v>44</v>
      </c>
      <c r="I307" s="10"/>
      <c r="J307" s="10" t="s">
        <v>40</v>
      </c>
      <c r="K307" s="10" t="s">
        <v>40</v>
      </c>
      <c r="L307" s="10" t="s">
        <v>40</v>
      </c>
      <c r="M307">
        <v>0</v>
      </c>
      <c r="N307">
        <v>0</v>
      </c>
      <c r="O307">
        <v>0</v>
      </c>
      <c r="P307" s="10" t="s">
        <v>44</v>
      </c>
      <c r="Q307" s="10">
        <f t="array" ref="Q307">IFERROR(SUMPRODUCT((N307:P307&gt;0)*(N307:P307))/3, 0)</f>
        <v>0</v>
      </c>
      <c r="R307" s="10"/>
      <c r="S307" s="11" t="str">
        <f t="shared" si="47"/>
        <v/>
      </c>
      <c r="T307" s="7"/>
      <c r="U307" s="7"/>
      <c r="V307" s="7"/>
      <c r="W307" s="7"/>
      <c r="X307" s="7"/>
      <c r="Y307" s="7"/>
      <c r="Z307" s="15"/>
      <c r="AA307" s="15"/>
      <c r="AB307" s="11" t="str">
        <f t="shared" si="48"/>
        <v/>
      </c>
      <c r="AC307" s="11"/>
      <c r="AD307" s="11"/>
      <c r="AE307" s="11"/>
      <c r="AF307" s="11"/>
      <c r="AG307" s="11"/>
      <c r="AH307" s="11"/>
      <c r="AI307" s="11"/>
      <c r="AJ307" s="15"/>
      <c r="AK307" s="15"/>
      <c r="AL307" s="14">
        <f t="shared" si="49"/>
        <v>3</v>
      </c>
      <c r="AM307" s="11">
        <f t="shared" si="50"/>
        <v>3</v>
      </c>
      <c r="AN307" s="14">
        <f t="shared" si="51"/>
        <v>3</v>
      </c>
      <c r="AO307" s="15"/>
      <c r="AP307" s="15"/>
      <c r="AQ307" s="15"/>
    </row>
    <row r="308" spans="1:43" ht="51" hidden="1" x14ac:dyDescent="0.2">
      <c r="A308" s="7">
        <v>307</v>
      </c>
      <c r="B308" s="19" t="s">
        <v>673</v>
      </c>
      <c r="C308" s="19" t="s">
        <v>674</v>
      </c>
      <c r="D308" s="8" t="s">
        <v>34</v>
      </c>
      <c r="E308" s="19" t="s">
        <v>269</v>
      </c>
      <c r="F308" s="8" t="s">
        <v>36</v>
      </c>
      <c r="G308" s="7" t="s">
        <v>59</v>
      </c>
      <c r="H308" s="9" t="s">
        <v>44</v>
      </c>
      <c r="I308" s="10"/>
      <c r="J308" s="10" t="s">
        <v>40</v>
      </c>
      <c r="K308" s="10" t="s">
        <v>40</v>
      </c>
      <c r="L308" s="10" t="s">
        <v>40</v>
      </c>
      <c r="M308">
        <v>0</v>
      </c>
      <c r="N308">
        <v>0</v>
      </c>
      <c r="O308">
        <v>0</v>
      </c>
      <c r="P308" s="10" t="s">
        <v>44</v>
      </c>
      <c r="Q308" s="10">
        <f t="array" ref="Q308">IFERROR(SUMPRODUCT((N308:P308&gt;0)*(N308:P308))/3, 0)</f>
        <v>0</v>
      </c>
      <c r="R308" s="10"/>
      <c r="S308" s="11" t="str">
        <f t="shared" si="47"/>
        <v/>
      </c>
      <c r="T308" s="7"/>
      <c r="U308" s="7"/>
      <c r="V308" s="7"/>
      <c r="W308" s="7"/>
      <c r="X308" s="7"/>
      <c r="Y308" s="7"/>
      <c r="Z308" s="15"/>
      <c r="AA308" s="15"/>
      <c r="AB308" s="11" t="str">
        <f t="shared" si="48"/>
        <v/>
      </c>
      <c r="AC308" s="11"/>
      <c r="AD308" s="11"/>
      <c r="AE308" s="11"/>
      <c r="AF308" s="11"/>
      <c r="AG308" s="11"/>
      <c r="AH308" s="11"/>
      <c r="AI308" s="11"/>
      <c r="AJ308" s="15"/>
      <c r="AK308" s="15"/>
      <c r="AL308" s="14">
        <f t="shared" si="49"/>
        <v>3</v>
      </c>
      <c r="AM308" s="11">
        <f t="shared" si="50"/>
        <v>3</v>
      </c>
      <c r="AN308" s="14">
        <f t="shared" si="51"/>
        <v>3</v>
      </c>
      <c r="AO308" s="15"/>
      <c r="AP308" s="15"/>
      <c r="AQ308" s="15"/>
    </row>
    <row r="309" spans="1:43" ht="51" hidden="1" x14ac:dyDescent="0.2">
      <c r="A309" s="7">
        <v>308</v>
      </c>
      <c r="B309" s="19" t="s">
        <v>675</v>
      </c>
      <c r="C309" s="19" t="s">
        <v>676</v>
      </c>
      <c r="D309" s="8" t="s">
        <v>34</v>
      </c>
      <c r="E309" s="19" t="s">
        <v>269</v>
      </c>
      <c r="F309" s="8" t="s">
        <v>36</v>
      </c>
      <c r="G309" s="7" t="s">
        <v>59</v>
      </c>
      <c r="H309" s="9" t="s">
        <v>44</v>
      </c>
      <c r="I309" s="10"/>
      <c r="J309" s="10" t="s">
        <v>40</v>
      </c>
      <c r="K309" s="10" t="s">
        <v>40</v>
      </c>
      <c r="L309" s="10" t="s">
        <v>40</v>
      </c>
      <c r="M309">
        <v>0</v>
      </c>
      <c r="N309">
        <v>0</v>
      </c>
      <c r="O309">
        <v>0</v>
      </c>
      <c r="P309" s="10" t="s">
        <v>44</v>
      </c>
      <c r="Q309" s="10">
        <f t="array" ref="Q309">IFERROR(SUMPRODUCT((N309:P309&gt;0)*(N309:P309))/3, 0)</f>
        <v>0</v>
      </c>
      <c r="R309" s="10"/>
      <c r="S309" s="11" t="str">
        <f t="shared" si="47"/>
        <v/>
      </c>
      <c r="T309" s="7"/>
      <c r="U309" s="7"/>
      <c r="V309" s="7"/>
      <c r="W309" s="7"/>
      <c r="X309" s="7"/>
      <c r="Y309" s="7"/>
      <c r="Z309" s="15"/>
      <c r="AA309" s="15"/>
      <c r="AB309" s="11" t="str">
        <f t="shared" si="48"/>
        <v/>
      </c>
      <c r="AC309" s="11"/>
      <c r="AD309" s="11"/>
      <c r="AE309" s="11"/>
      <c r="AF309" s="11"/>
      <c r="AG309" s="11"/>
      <c r="AH309" s="11"/>
      <c r="AI309" s="11"/>
      <c r="AJ309" s="15"/>
      <c r="AK309" s="15"/>
      <c r="AL309" s="14">
        <f t="shared" si="49"/>
        <v>3</v>
      </c>
      <c r="AM309" s="11">
        <f t="shared" si="50"/>
        <v>3</v>
      </c>
      <c r="AN309" s="14">
        <f t="shared" si="51"/>
        <v>3</v>
      </c>
      <c r="AO309" s="15"/>
      <c r="AP309" s="15"/>
      <c r="AQ309" s="15"/>
    </row>
    <row r="310" spans="1:43" ht="51" hidden="1" x14ac:dyDescent="0.2">
      <c r="A310" s="7">
        <v>309</v>
      </c>
      <c r="B310" s="19" t="s">
        <v>677</v>
      </c>
      <c r="C310" s="19" t="s">
        <v>678</v>
      </c>
      <c r="D310" s="8" t="s">
        <v>34</v>
      </c>
      <c r="E310" s="19" t="s">
        <v>269</v>
      </c>
      <c r="F310" s="8" t="s">
        <v>36</v>
      </c>
      <c r="G310" s="7" t="s">
        <v>59</v>
      </c>
      <c r="H310" s="9" t="s">
        <v>44</v>
      </c>
      <c r="I310" s="10"/>
      <c r="J310" s="10" t="s">
        <v>40</v>
      </c>
      <c r="K310" s="10" t="s">
        <v>40</v>
      </c>
      <c r="L310" s="10" t="s">
        <v>40</v>
      </c>
      <c r="M310">
        <v>0</v>
      </c>
      <c r="N310">
        <v>0</v>
      </c>
      <c r="O310">
        <v>0</v>
      </c>
      <c r="P310" s="10" t="s">
        <v>44</v>
      </c>
      <c r="Q310" s="10">
        <f t="array" ref="Q310">IFERROR(SUMPRODUCT((N310:P310&gt;0)*(N310:P310))/3, 0)</f>
        <v>0</v>
      </c>
      <c r="R310" s="10"/>
      <c r="S310" s="11" t="str">
        <f t="shared" si="47"/>
        <v/>
      </c>
      <c r="T310" s="7"/>
      <c r="U310" s="7"/>
      <c r="V310" s="7"/>
      <c r="W310" s="7"/>
      <c r="X310" s="7"/>
      <c r="Y310" s="7"/>
      <c r="Z310" s="15"/>
      <c r="AA310" s="15"/>
      <c r="AB310" s="11" t="str">
        <f t="shared" si="48"/>
        <v/>
      </c>
      <c r="AC310" s="11"/>
      <c r="AD310" s="11"/>
      <c r="AE310" s="11"/>
      <c r="AF310" s="11"/>
      <c r="AG310" s="11"/>
      <c r="AH310" s="11"/>
      <c r="AI310" s="11"/>
      <c r="AJ310" s="15"/>
      <c r="AK310" s="15"/>
      <c r="AL310" s="14">
        <f t="shared" si="49"/>
        <v>3</v>
      </c>
      <c r="AM310" s="11">
        <f t="shared" si="50"/>
        <v>3</v>
      </c>
      <c r="AN310" s="14">
        <f t="shared" si="51"/>
        <v>3</v>
      </c>
      <c r="AO310" s="15"/>
      <c r="AP310" s="15"/>
      <c r="AQ310" s="15"/>
    </row>
    <row r="311" spans="1:43" ht="51" hidden="1" x14ac:dyDescent="0.2">
      <c r="A311" s="7">
        <v>310</v>
      </c>
      <c r="B311" s="19" t="s">
        <v>679</v>
      </c>
      <c r="C311" s="19" t="s">
        <v>680</v>
      </c>
      <c r="D311" s="8" t="s">
        <v>34</v>
      </c>
      <c r="E311" s="19" t="s">
        <v>269</v>
      </c>
      <c r="F311" s="8" t="s">
        <v>36</v>
      </c>
      <c r="G311" s="7" t="s">
        <v>59</v>
      </c>
      <c r="H311" s="9" t="s">
        <v>44</v>
      </c>
      <c r="I311" s="10"/>
      <c r="J311" s="10" t="s">
        <v>40</v>
      </c>
      <c r="K311" s="10" t="s">
        <v>40</v>
      </c>
      <c r="L311" s="10" t="s">
        <v>40</v>
      </c>
      <c r="M311">
        <v>0</v>
      </c>
      <c r="N311">
        <v>0</v>
      </c>
      <c r="O311">
        <v>0</v>
      </c>
      <c r="P311" s="10" t="s">
        <v>44</v>
      </c>
      <c r="Q311" s="10">
        <f t="array" ref="Q311">IFERROR(SUMPRODUCT((N311:P311&gt;0)*(N311:P311))/3, 0)</f>
        <v>0</v>
      </c>
      <c r="R311" s="10"/>
      <c r="S311" s="11" t="str">
        <f t="shared" si="47"/>
        <v/>
      </c>
      <c r="T311" s="7"/>
      <c r="U311" s="7"/>
      <c r="V311" s="7"/>
      <c r="W311" s="7"/>
      <c r="X311" s="7"/>
      <c r="Y311" s="7"/>
      <c r="Z311" s="15"/>
      <c r="AA311" s="15"/>
      <c r="AB311" s="11" t="str">
        <f t="shared" si="48"/>
        <v/>
      </c>
      <c r="AC311" s="11"/>
      <c r="AD311" s="11"/>
      <c r="AE311" s="11"/>
      <c r="AF311" s="11"/>
      <c r="AG311" s="11"/>
      <c r="AH311" s="11"/>
      <c r="AI311" s="11"/>
      <c r="AJ311" s="15"/>
      <c r="AK311" s="15"/>
      <c r="AL311" s="14">
        <f t="shared" si="49"/>
        <v>3</v>
      </c>
      <c r="AM311" s="11">
        <f t="shared" si="50"/>
        <v>3</v>
      </c>
      <c r="AN311" s="14">
        <f t="shared" si="51"/>
        <v>3</v>
      </c>
      <c r="AO311" s="15"/>
      <c r="AP311" s="15"/>
      <c r="AQ311" s="15"/>
    </row>
    <row r="312" spans="1:43" ht="51" hidden="1" x14ac:dyDescent="0.2">
      <c r="A312" s="7">
        <v>311</v>
      </c>
      <c r="B312" s="19" t="s">
        <v>681</v>
      </c>
      <c r="C312" s="19" t="s">
        <v>682</v>
      </c>
      <c r="D312" s="8" t="s">
        <v>34</v>
      </c>
      <c r="E312" s="19" t="s">
        <v>269</v>
      </c>
      <c r="F312" s="8" t="s">
        <v>36</v>
      </c>
      <c r="G312" s="7" t="s">
        <v>59</v>
      </c>
      <c r="H312" s="9" t="s">
        <v>44</v>
      </c>
      <c r="I312" s="10"/>
      <c r="J312" s="10" t="s">
        <v>40</v>
      </c>
      <c r="K312" s="10" t="s">
        <v>40</v>
      </c>
      <c r="L312" s="10" t="s">
        <v>40</v>
      </c>
      <c r="M312">
        <v>0</v>
      </c>
      <c r="N312">
        <v>0</v>
      </c>
      <c r="O312">
        <v>0</v>
      </c>
      <c r="P312" s="10" t="s">
        <v>44</v>
      </c>
      <c r="Q312" s="10">
        <f t="array" ref="Q312">IFERROR(SUMPRODUCT((N312:P312&gt;0)*(N312:P312))/3, 0)</f>
        <v>0</v>
      </c>
      <c r="R312" s="10"/>
      <c r="S312" s="11" t="str">
        <f t="shared" si="47"/>
        <v/>
      </c>
      <c r="T312" s="7"/>
      <c r="U312" s="7"/>
      <c r="V312" s="7"/>
      <c r="W312" s="7"/>
      <c r="X312" s="7"/>
      <c r="Y312" s="7"/>
      <c r="Z312" s="15"/>
      <c r="AA312" s="15"/>
      <c r="AB312" s="11" t="str">
        <f t="shared" si="48"/>
        <v/>
      </c>
      <c r="AC312" s="11"/>
      <c r="AD312" s="11"/>
      <c r="AE312" s="11"/>
      <c r="AF312" s="11"/>
      <c r="AG312" s="11"/>
      <c r="AH312" s="11"/>
      <c r="AI312" s="11"/>
      <c r="AJ312" s="15"/>
      <c r="AK312" s="15"/>
      <c r="AL312" s="14">
        <f t="shared" si="49"/>
        <v>3</v>
      </c>
      <c r="AM312" s="11">
        <f t="shared" si="50"/>
        <v>3</v>
      </c>
      <c r="AN312" s="14">
        <f t="shared" si="51"/>
        <v>3</v>
      </c>
      <c r="AO312" s="15"/>
      <c r="AP312" s="15"/>
      <c r="AQ312" s="15"/>
    </row>
    <row r="313" spans="1:43" ht="51" hidden="1" x14ac:dyDescent="0.2">
      <c r="A313" s="7">
        <v>312</v>
      </c>
      <c r="B313" s="19" t="s">
        <v>683</v>
      </c>
      <c r="C313" s="19" t="s">
        <v>684</v>
      </c>
      <c r="D313" s="8" t="s">
        <v>34</v>
      </c>
      <c r="E313" s="19" t="s">
        <v>269</v>
      </c>
      <c r="F313" s="8" t="s">
        <v>36</v>
      </c>
      <c r="G313" s="7" t="s">
        <v>59</v>
      </c>
      <c r="H313" s="9" t="s">
        <v>44</v>
      </c>
      <c r="I313" s="10"/>
      <c r="J313" s="10" t="s">
        <v>40</v>
      </c>
      <c r="K313" s="10" t="s">
        <v>40</v>
      </c>
      <c r="L313" s="10" t="s">
        <v>40</v>
      </c>
      <c r="M313">
        <v>0</v>
      </c>
      <c r="N313">
        <v>0</v>
      </c>
      <c r="O313">
        <v>0</v>
      </c>
      <c r="P313" s="10" t="s">
        <v>44</v>
      </c>
      <c r="Q313" s="10">
        <f t="array" ref="Q313">IFERROR(SUMPRODUCT((N313:P313&gt;0)*(N313:P313))/3, 0)</f>
        <v>0</v>
      </c>
      <c r="R313" s="10"/>
      <c r="S313" s="11" t="str">
        <f t="shared" si="47"/>
        <v/>
      </c>
      <c r="T313" s="7"/>
      <c r="U313" s="7"/>
      <c r="V313" s="7"/>
      <c r="W313" s="7"/>
      <c r="X313" s="7"/>
      <c r="Y313" s="7"/>
      <c r="Z313" s="15"/>
      <c r="AA313" s="15"/>
      <c r="AB313" s="11" t="str">
        <f t="shared" si="48"/>
        <v/>
      </c>
      <c r="AC313" s="11"/>
      <c r="AD313" s="11"/>
      <c r="AE313" s="11"/>
      <c r="AF313" s="11"/>
      <c r="AG313" s="11"/>
      <c r="AH313" s="11"/>
      <c r="AI313" s="11"/>
      <c r="AJ313" s="15"/>
      <c r="AK313" s="15"/>
      <c r="AL313" s="14">
        <f t="shared" si="49"/>
        <v>3</v>
      </c>
      <c r="AM313" s="11">
        <f t="shared" si="50"/>
        <v>3</v>
      </c>
      <c r="AN313" s="14">
        <f t="shared" si="51"/>
        <v>3</v>
      </c>
      <c r="AO313" s="15"/>
      <c r="AP313" s="15"/>
      <c r="AQ313" s="15"/>
    </row>
    <row r="314" spans="1:43" ht="51" hidden="1" x14ac:dyDescent="0.2">
      <c r="A314" s="7">
        <v>313</v>
      </c>
      <c r="B314" s="19" t="s">
        <v>685</v>
      </c>
      <c r="C314" s="19" t="s">
        <v>686</v>
      </c>
      <c r="D314" s="8" t="s">
        <v>34</v>
      </c>
      <c r="E314" s="19" t="s">
        <v>269</v>
      </c>
      <c r="F314" s="8" t="s">
        <v>36</v>
      </c>
      <c r="G314" s="7" t="s">
        <v>59</v>
      </c>
      <c r="H314" s="9" t="s">
        <v>44</v>
      </c>
      <c r="I314" s="10"/>
      <c r="J314" s="10" t="s">
        <v>40</v>
      </c>
      <c r="K314" s="10" t="s">
        <v>40</v>
      </c>
      <c r="L314" s="10" t="s">
        <v>40</v>
      </c>
      <c r="M314">
        <v>0</v>
      </c>
      <c r="N314">
        <v>0</v>
      </c>
      <c r="O314">
        <v>0</v>
      </c>
      <c r="P314" s="10" t="s">
        <v>44</v>
      </c>
      <c r="Q314" s="10">
        <f t="array" ref="Q314">IFERROR(SUMPRODUCT((N314:P314&gt;0)*(N314:P314))/3, 0)</f>
        <v>0</v>
      </c>
      <c r="R314" s="10"/>
      <c r="S314" s="11" t="str">
        <f t="shared" si="47"/>
        <v/>
      </c>
      <c r="T314" s="7"/>
      <c r="U314" s="7"/>
      <c r="V314" s="7"/>
      <c r="W314" s="7"/>
      <c r="X314" s="7"/>
      <c r="Y314" s="7"/>
      <c r="Z314" s="15"/>
      <c r="AA314" s="15"/>
      <c r="AB314" s="11" t="str">
        <f t="shared" si="48"/>
        <v/>
      </c>
      <c r="AC314" s="11"/>
      <c r="AD314" s="11"/>
      <c r="AE314" s="11"/>
      <c r="AF314" s="11"/>
      <c r="AG314" s="11"/>
      <c r="AH314" s="11"/>
      <c r="AI314" s="11"/>
      <c r="AJ314" s="15"/>
      <c r="AK314" s="15"/>
      <c r="AL314" s="14">
        <f t="shared" si="49"/>
        <v>3</v>
      </c>
      <c r="AM314" s="11">
        <f t="shared" si="50"/>
        <v>3</v>
      </c>
      <c r="AN314" s="14">
        <f t="shared" si="51"/>
        <v>3</v>
      </c>
      <c r="AO314" s="15"/>
      <c r="AP314" s="15"/>
      <c r="AQ314" s="15"/>
    </row>
    <row r="315" spans="1:43" ht="51" hidden="1" x14ac:dyDescent="0.2">
      <c r="A315" s="7">
        <v>314</v>
      </c>
      <c r="B315" s="19" t="s">
        <v>687</v>
      </c>
      <c r="C315" s="19" t="s">
        <v>688</v>
      </c>
      <c r="D315" s="8" t="s">
        <v>34</v>
      </c>
      <c r="E315" s="19" t="s">
        <v>269</v>
      </c>
      <c r="F315" s="8" t="s">
        <v>36</v>
      </c>
      <c r="G315" s="7" t="s">
        <v>59</v>
      </c>
      <c r="H315" s="9" t="s">
        <v>44</v>
      </c>
      <c r="I315" s="10"/>
      <c r="J315" s="10" t="s">
        <v>40</v>
      </c>
      <c r="K315" s="10" t="s">
        <v>40</v>
      </c>
      <c r="L315" s="10" t="s">
        <v>40</v>
      </c>
      <c r="M315">
        <v>0</v>
      </c>
      <c r="N315">
        <v>0</v>
      </c>
      <c r="O315">
        <v>0</v>
      </c>
      <c r="P315" s="10" t="s">
        <v>44</v>
      </c>
      <c r="Q315" s="10">
        <f t="array" ref="Q315">IFERROR(SUMPRODUCT((N315:P315&gt;0)*(N315:P315))/3, 0)</f>
        <v>0</v>
      </c>
      <c r="R315" s="10"/>
      <c r="S315" s="11" t="str">
        <f t="shared" si="47"/>
        <v/>
      </c>
      <c r="T315" s="7"/>
      <c r="U315" s="7"/>
      <c r="V315" s="7"/>
      <c r="W315" s="7"/>
      <c r="X315" s="7"/>
      <c r="Y315" s="7"/>
      <c r="Z315" s="15"/>
      <c r="AA315" s="15"/>
      <c r="AB315" s="11" t="str">
        <f t="shared" si="48"/>
        <v/>
      </c>
      <c r="AC315" s="11"/>
      <c r="AD315" s="11"/>
      <c r="AE315" s="11"/>
      <c r="AF315" s="11"/>
      <c r="AG315" s="11"/>
      <c r="AH315" s="11"/>
      <c r="AI315" s="11"/>
      <c r="AJ315" s="15"/>
      <c r="AK315" s="15"/>
      <c r="AL315" s="14">
        <f t="shared" si="49"/>
        <v>3</v>
      </c>
      <c r="AM315" s="11">
        <f t="shared" si="50"/>
        <v>3</v>
      </c>
      <c r="AN315" s="14">
        <f t="shared" si="51"/>
        <v>3</v>
      </c>
      <c r="AO315" s="15"/>
      <c r="AP315" s="15"/>
      <c r="AQ315" s="15"/>
    </row>
    <row r="316" spans="1:43" ht="51" hidden="1" x14ac:dyDescent="0.2">
      <c r="A316" s="7">
        <v>315</v>
      </c>
      <c r="B316" s="19" t="s">
        <v>689</v>
      </c>
      <c r="C316" s="19" t="s">
        <v>690</v>
      </c>
      <c r="D316" s="8" t="s">
        <v>34</v>
      </c>
      <c r="E316" s="19" t="s">
        <v>269</v>
      </c>
      <c r="F316" s="8" t="s">
        <v>36</v>
      </c>
      <c r="G316" s="7" t="s">
        <v>59</v>
      </c>
      <c r="H316" s="9" t="s">
        <v>44</v>
      </c>
      <c r="I316" s="10"/>
      <c r="J316" s="10" t="s">
        <v>40</v>
      </c>
      <c r="K316" s="10" t="s">
        <v>40</v>
      </c>
      <c r="L316" s="10" t="s">
        <v>40</v>
      </c>
      <c r="M316">
        <v>0</v>
      </c>
      <c r="N316">
        <v>0</v>
      </c>
      <c r="O316">
        <v>0</v>
      </c>
      <c r="P316" s="10" t="s">
        <v>44</v>
      </c>
      <c r="Q316" s="10">
        <f t="array" ref="Q316">IFERROR(SUMPRODUCT((N316:P316&gt;0)*(N316:P316))/3, 0)</f>
        <v>0</v>
      </c>
      <c r="R316" s="10"/>
      <c r="S316" s="11" t="str">
        <f t="shared" si="47"/>
        <v/>
      </c>
      <c r="T316" s="7"/>
      <c r="U316" s="7"/>
      <c r="V316" s="7"/>
      <c r="W316" s="7"/>
      <c r="X316" s="7"/>
      <c r="Y316" s="7"/>
      <c r="Z316" s="15"/>
      <c r="AA316" s="15"/>
      <c r="AB316" s="11" t="str">
        <f t="shared" si="48"/>
        <v/>
      </c>
      <c r="AC316" s="11"/>
      <c r="AD316" s="11"/>
      <c r="AE316" s="11"/>
      <c r="AF316" s="11"/>
      <c r="AG316" s="11"/>
      <c r="AH316" s="11"/>
      <c r="AI316" s="11"/>
      <c r="AJ316" s="15"/>
      <c r="AK316" s="15"/>
      <c r="AL316" s="14">
        <f t="shared" si="49"/>
        <v>3</v>
      </c>
      <c r="AM316" s="11">
        <f t="shared" si="50"/>
        <v>3</v>
      </c>
      <c r="AN316" s="14">
        <f t="shared" si="51"/>
        <v>3</v>
      </c>
      <c r="AO316" s="15"/>
      <c r="AP316" s="15"/>
      <c r="AQ316" s="15"/>
    </row>
    <row r="317" spans="1:43" ht="51" hidden="1" x14ac:dyDescent="0.2">
      <c r="A317" s="7">
        <v>316</v>
      </c>
      <c r="B317" s="19" t="s">
        <v>691</v>
      </c>
      <c r="C317" s="19" t="s">
        <v>692</v>
      </c>
      <c r="D317" s="8" t="s">
        <v>34</v>
      </c>
      <c r="E317" s="19" t="s">
        <v>269</v>
      </c>
      <c r="F317" s="8" t="s">
        <v>36</v>
      </c>
      <c r="G317" s="7" t="s">
        <v>59</v>
      </c>
      <c r="H317" s="9" t="s">
        <v>44</v>
      </c>
      <c r="I317" s="10"/>
      <c r="J317" s="10" t="s">
        <v>40</v>
      </c>
      <c r="K317" s="10" t="s">
        <v>40</v>
      </c>
      <c r="L317" s="10" t="s">
        <v>40</v>
      </c>
      <c r="M317">
        <v>0</v>
      </c>
      <c r="N317">
        <v>0</v>
      </c>
      <c r="O317">
        <v>0</v>
      </c>
      <c r="P317" s="10" t="s">
        <v>44</v>
      </c>
      <c r="Q317" s="10">
        <f t="array" ref="Q317">IFERROR(SUMPRODUCT((N317:P317&gt;0)*(N317:P317))/3, 0)</f>
        <v>0</v>
      </c>
      <c r="R317" s="10"/>
      <c r="S317" s="11" t="str">
        <f t="shared" si="47"/>
        <v/>
      </c>
      <c r="T317" s="7"/>
      <c r="U317" s="7"/>
      <c r="V317" s="7"/>
      <c r="W317" s="7"/>
      <c r="X317" s="7"/>
      <c r="Y317" s="7"/>
      <c r="Z317" s="15"/>
      <c r="AA317" s="15"/>
      <c r="AB317" s="11" t="str">
        <f t="shared" si="48"/>
        <v/>
      </c>
      <c r="AC317" s="11"/>
      <c r="AD317" s="11"/>
      <c r="AE317" s="11"/>
      <c r="AF317" s="11"/>
      <c r="AG317" s="11"/>
      <c r="AH317" s="11"/>
      <c r="AI317" s="11"/>
      <c r="AJ317" s="15"/>
      <c r="AK317" s="15"/>
      <c r="AL317" s="14">
        <f t="shared" si="49"/>
        <v>3</v>
      </c>
      <c r="AM317" s="11">
        <f t="shared" si="50"/>
        <v>3</v>
      </c>
      <c r="AN317" s="14">
        <f t="shared" si="51"/>
        <v>3</v>
      </c>
      <c r="AO317" s="15"/>
      <c r="AP317" s="15"/>
      <c r="AQ317" s="15"/>
    </row>
    <row r="318" spans="1:43" ht="51" hidden="1" x14ac:dyDescent="0.2">
      <c r="A318" s="7">
        <v>317</v>
      </c>
      <c r="B318" s="19" t="s">
        <v>693</v>
      </c>
      <c r="C318" s="19" t="s">
        <v>694</v>
      </c>
      <c r="D318" s="8" t="s">
        <v>34</v>
      </c>
      <c r="E318" s="19" t="s">
        <v>269</v>
      </c>
      <c r="F318" s="8" t="s">
        <v>36</v>
      </c>
      <c r="G318" s="7" t="s">
        <v>59</v>
      </c>
      <c r="H318" s="9" t="s">
        <v>44</v>
      </c>
      <c r="I318" s="10"/>
      <c r="J318" s="10" t="s">
        <v>40</v>
      </c>
      <c r="K318" s="10" t="s">
        <v>40</v>
      </c>
      <c r="L318" s="10" t="s">
        <v>40</v>
      </c>
      <c r="M318">
        <v>0</v>
      </c>
      <c r="N318">
        <v>0</v>
      </c>
      <c r="O318">
        <v>0</v>
      </c>
      <c r="P318" s="10" t="s">
        <v>44</v>
      </c>
      <c r="Q318" s="10">
        <f t="array" ref="Q318">IFERROR(SUMPRODUCT((N318:P318&gt;0)*(N318:P318))/3, 0)</f>
        <v>0</v>
      </c>
      <c r="R318" s="10"/>
      <c r="S318" s="11" t="str">
        <f t="shared" si="47"/>
        <v/>
      </c>
      <c r="T318" s="7"/>
      <c r="U318" s="7"/>
      <c r="V318" s="7"/>
      <c r="W318" s="7"/>
      <c r="X318" s="7"/>
      <c r="Y318" s="7"/>
      <c r="Z318" s="15"/>
      <c r="AA318" s="15"/>
      <c r="AB318" s="11" t="str">
        <f t="shared" si="48"/>
        <v/>
      </c>
      <c r="AC318" s="11"/>
      <c r="AD318" s="11"/>
      <c r="AE318" s="11"/>
      <c r="AF318" s="11"/>
      <c r="AG318" s="11"/>
      <c r="AH318" s="11"/>
      <c r="AI318" s="11"/>
      <c r="AJ318" s="15"/>
      <c r="AK318" s="15"/>
      <c r="AL318" s="14">
        <f t="shared" si="49"/>
        <v>3</v>
      </c>
      <c r="AM318" s="11">
        <f t="shared" si="50"/>
        <v>3</v>
      </c>
      <c r="AN318" s="14">
        <f t="shared" si="51"/>
        <v>3</v>
      </c>
      <c r="AO318" s="15"/>
      <c r="AP318" s="15"/>
      <c r="AQ318" s="15"/>
    </row>
    <row r="319" spans="1:43" ht="51" hidden="1" x14ac:dyDescent="0.2">
      <c r="A319" s="7">
        <v>318</v>
      </c>
      <c r="B319" s="19" t="s">
        <v>695</v>
      </c>
      <c r="C319" s="19" t="s">
        <v>696</v>
      </c>
      <c r="D319" s="8" t="s">
        <v>34</v>
      </c>
      <c r="E319" s="19" t="s">
        <v>269</v>
      </c>
      <c r="F319" s="8" t="s">
        <v>36</v>
      </c>
      <c r="G319" s="7" t="s">
        <v>59</v>
      </c>
      <c r="H319" s="9" t="s">
        <v>44</v>
      </c>
      <c r="I319" s="10"/>
      <c r="J319" s="10" t="s">
        <v>40</v>
      </c>
      <c r="K319" s="10" t="s">
        <v>40</v>
      </c>
      <c r="L319" s="10" t="s">
        <v>40</v>
      </c>
      <c r="M319">
        <v>0</v>
      </c>
      <c r="N319">
        <v>0</v>
      </c>
      <c r="O319">
        <v>0</v>
      </c>
      <c r="P319" s="10" t="s">
        <v>44</v>
      </c>
      <c r="Q319" s="10">
        <f t="array" ref="Q319">IFERROR(SUMPRODUCT((N319:P319&gt;0)*(N319:P319))/3, 0)</f>
        <v>0</v>
      </c>
      <c r="R319" s="10"/>
      <c r="S319" s="11" t="str">
        <f t="shared" si="47"/>
        <v/>
      </c>
      <c r="T319" s="7"/>
      <c r="U319" s="7"/>
      <c r="V319" s="7"/>
      <c r="W319" s="7"/>
      <c r="X319" s="7"/>
      <c r="Y319" s="7"/>
      <c r="Z319" s="15"/>
      <c r="AA319" s="15"/>
      <c r="AB319" s="11" t="str">
        <f t="shared" si="48"/>
        <v/>
      </c>
      <c r="AC319" s="11"/>
      <c r="AD319" s="11"/>
      <c r="AE319" s="11"/>
      <c r="AF319" s="11"/>
      <c r="AG319" s="11"/>
      <c r="AH319" s="11"/>
      <c r="AI319" s="11"/>
      <c r="AJ319" s="15"/>
      <c r="AK319" s="15"/>
      <c r="AL319" s="14">
        <f t="shared" si="49"/>
        <v>3</v>
      </c>
      <c r="AM319" s="11">
        <f t="shared" si="50"/>
        <v>3</v>
      </c>
      <c r="AN319" s="14">
        <f t="shared" si="51"/>
        <v>3</v>
      </c>
      <c r="AO319" s="15"/>
      <c r="AP319" s="15"/>
      <c r="AQ319" s="15"/>
    </row>
    <row r="320" spans="1:43" ht="51" hidden="1" x14ac:dyDescent="0.2">
      <c r="A320" s="7">
        <v>319</v>
      </c>
      <c r="B320" s="19" t="s">
        <v>697</v>
      </c>
      <c r="C320" s="19" t="s">
        <v>698</v>
      </c>
      <c r="D320" s="8" t="s">
        <v>34</v>
      </c>
      <c r="E320" s="19" t="s">
        <v>269</v>
      </c>
      <c r="F320" s="8" t="s">
        <v>36</v>
      </c>
      <c r="G320" s="7" t="s">
        <v>59</v>
      </c>
      <c r="H320" s="9" t="s">
        <v>44</v>
      </c>
      <c r="I320" s="10"/>
      <c r="J320" s="10" t="s">
        <v>40</v>
      </c>
      <c r="K320" s="10" t="s">
        <v>40</v>
      </c>
      <c r="L320" s="10" t="s">
        <v>40</v>
      </c>
      <c r="M320">
        <v>0</v>
      </c>
      <c r="N320">
        <v>0</v>
      </c>
      <c r="O320">
        <v>0</v>
      </c>
      <c r="P320" s="10" t="s">
        <v>44</v>
      </c>
      <c r="Q320" s="10">
        <f t="array" ref="Q320">IFERROR(SUMPRODUCT((N320:P320&gt;0)*(N320:P320))/3, 0)</f>
        <v>0</v>
      </c>
      <c r="R320" s="10"/>
      <c r="S320" s="11" t="str">
        <f t="shared" si="47"/>
        <v/>
      </c>
      <c r="T320" s="7"/>
      <c r="U320" s="7"/>
      <c r="V320" s="7"/>
      <c r="W320" s="7"/>
      <c r="X320" s="7"/>
      <c r="Y320" s="7"/>
      <c r="Z320" s="15"/>
      <c r="AA320" s="15"/>
      <c r="AB320" s="11" t="str">
        <f t="shared" si="48"/>
        <v/>
      </c>
      <c r="AC320" s="11"/>
      <c r="AD320" s="11"/>
      <c r="AE320" s="11"/>
      <c r="AF320" s="11"/>
      <c r="AG320" s="11"/>
      <c r="AH320" s="11"/>
      <c r="AI320" s="11"/>
      <c r="AJ320" s="15"/>
      <c r="AK320" s="15"/>
      <c r="AL320" s="14">
        <f t="shared" si="49"/>
        <v>3</v>
      </c>
      <c r="AM320" s="11">
        <f t="shared" si="50"/>
        <v>3</v>
      </c>
      <c r="AN320" s="14">
        <f t="shared" si="51"/>
        <v>3</v>
      </c>
      <c r="AO320" s="15"/>
      <c r="AP320" s="15"/>
      <c r="AQ320" s="15"/>
    </row>
    <row r="321" spans="1:43" ht="51" hidden="1" x14ac:dyDescent="0.2">
      <c r="A321" s="7">
        <v>320</v>
      </c>
      <c r="B321" s="19" t="s">
        <v>699</v>
      </c>
      <c r="C321" s="19" t="s">
        <v>700</v>
      </c>
      <c r="D321" s="8" t="s">
        <v>34</v>
      </c>
      <c r="E321" s="19" t="s">
        <v>269</v>
      </c>
      <c r="F321" s="8" t="s">
        <v>36</v>
      </c>
      <c r="G321" s="7" t="s">
        <v>59</v>
      </c>
      <c r="H321" s="9" t="s">
        <v>44</v>
      </c>
      <c r="I321" s="10"/>
      <c r="J321" s="10" t="s">
        <v>40</v>
      </c>
      <c r="K321" s="10" t="s">
        <v>40</v>
      </c>
      <c r="L321" s="10" t="s">
        <v>40</v>
      </c>
      <c r="M321">
        <v>0</v>
      </c>
      <c r="N321">
        <v>0</v>
      </c>
      <c r="O321">
        <v>0</v>
      </c>
      <c r="P321" s="10" t="s">
        <v>44</v>
      </c>
      <c r="Q321" s="10">
        <f t="array" ref="Q321">IFERROR(SUMPRODUCT((N321:P321&gt;0)*(N321:P321))/3, 0)</f>
        <v>0</v>
      </c>
      <c r="R321" s="10"/>
      <c r="S321" s="11" t="str">
        <f t="shared" si="47"/>
        <v/>
      </c>
      <c r="T321" s="7"/>
      <c r="U321" s="7"/>
      <c r="V321" s="7"/>
      <c r="W321" s="7"/>
      <c r="X321" s="7"/>
      <c r="Y321" s="7"/>
      <c r="Z321" s="15"/>
      <c r="AA321" s="15"/>
      <c r="AB321" s="11" t="str">
        <f t="shared" si="48"/>
        <v/>
      </c>
      <c r="AC321" s="11"/>
      <c r="AD321" s="11"/>
      <c r="AE321" s="11"/>
      <c r="AF321" s="11"/>
      <c r="AG321" s="11"/>
      <c r="AH321" s="11"/>
      <c r="AI321" s="11"/>
      <c r="AJ321" s="15"/>
      <c r="AK321" s="15"/>
      <c r="AL321" s="14">
        <f t="shared" si="49"/>
        <v>3</v>
      </c>
      <c r="AM321" s="11">
        <f t="shared" si="50"/>
        <v>3</v>
      </c>
      <c r="AN321" s="14">
        <f t="shared" si="51"/>
        <v>3</v>
      </c>
      <c r="AO321" s="15"/>
      <c r="AP321" s="15"/>
      <c r="AQ321" s="15"/>
    </row>
    <row r="322" spans="1:43" ht="51" hidden="1" x14ac:dyDescent="0.2">
      <c r="A322" s="7">
        <v>321</v>
      </c>
      <c r="B322" s="19" t="s">
        <v>701</v>
      </c>
      <c r="C322" s="19" t="s">
        <v>702</v>
      </c>
      <c r="D322" s="8" t="s">
        <v>34</v>
      </c>
      <c r="E322" s="19" t="s">
        <v>269</v>
      </c>
      <c r="F322" s="8" t="s">
        <v>36</v>
      </c>
      <c r="G322" s="7" t="s">
        <v>59</v>
      </c>
      <c r="H322" s="9" t="s">
        <v>44</v>
      </c>
      <c r="I322" s="10"/>
      <c r="J322" s="10" t="s">
        <v>40</v>
      </c>
      <c r="K322" s="10" t="s">
        <v>40</v>
      </c>
      <c r="L322" s="10" t="s">
        <v>40</v>
      </c>
      <c r="M322">
        <v>0</v>
      </c>
      <c r="N322">
        <v>0</v>
      </c>
      <c r="O322">
        <v>0</v>
      </c>
      <c r="P322" s="10" t="s">
        <v>44</v>
      </c>
      <c r="Q322" s="10">
        <f t="array" ref="Q322">IFERROR(SUMPRODUCT((N322:P322&gt;0)*(N322:P322))/3, 0)</f>
        <v>0</v>
      </c>
      <c r="R322" s="10"/>
      <c r="S322" s="11" t="str">
        <f t="shared" si="47"/>
        <v/>
      </c>
      <c r="T322" s="7"/>
      <c r="U322" s="7"/>
      <c r="V322" s="7"/>
      <c r="W322" s="7"/>
      <c r="X322" s="7"/>
      <c r="Y322" s="7"/>
      <c r="Z322" s="15"/>
      <c r="AA322" s="15"/>
      <c r="AB322" s="11" t="str">
        <f t="shared" si="48"/>
        <v/>
      </c>
      <c r="AC322" s="11"/>
      <c r="AD322" s="11"/>
      <c r="AE322" s="11"/>
      <c r="AF322" s="11"/>
      <c r="AG322" s="11"/>
      <c r="AH322" s="11"/>
      <c r="AI322" s="11"/>
      <c r="AJ322" s="15"/>
      <c r="AK322" s="15"/>
      <c r="AL322" s="14">
        <f t="shared" si="49"/>
        <v>3</v>
      </c>
      <c r="AM322" s="11">
        <f t="shared" si="50"/>
        <v>3</v>
      </c>
      <c r="AN322" s="14">
        <f t="shared" si="51"/>
        <v>3</v>
      </c>
      <c r="AO322" s="15"/>
      <c r="AP322" s="15"/>
      <c r="AQ322" s="15"/>
    </row>
    <row r="323" spans="1:43" ht="51" hidden="1" x14ac:dyDescent="0.2">
      <c r="A323" s="7">
        <v>322</v>
      </c>
      <c r="B323" s="19" t="s">
        <v>703</v>
      </c>
      <c r="C323" s="19" t="s">
        <v>704</v>
      </c>
      <c r="D323" s="8" t="s">
        <v>34</v>
      </c>
      <c r="E323" s="19" t="s">
        <v>269</v>
      </c>
      <c r="F323" s="8" t="s">
        <v>36</v>
      </c>
      <c r="G323" s="7" t="s">
        <v>59</v>
      </c>
      <c r="H323" s="9" t="s">
        <v>44</v>
      </c>
      <c r="I323" s="10"/>
      <c r="J323" s="10" t="s">
        <v>40</v>
      </c>
      <c r="K323" s="10" t="s">
        <v>40</v>
      </c>
      <c r="L323" s="10" t="s">
        <v>40</v>
      </c>
      <c r="M323">
        <v>0</v>
      </c>
      <c r="N323">
        <v>0</v>
      </c>
      <c r="O323">
        <v>0</v>
      </c>
      <c r="P323" s="10" t="s">
        <v>44</v>
      </c>
      <c r="Q323" s="10">
        <f t="array" ref="Q323">IFERROR(SUMPRODUCT((N323:P323&gt;0)*(N323:P323))/3, 0)</f>
        <v>0</v>
      </c>
      <c r="R323" s="10"/>
      <c r="S323" s="11" t="str">
        <f t="shared" ref="S323:S386" si="52">IF(Q323&gt;0,LOG10(Q323+1),"")</f>
        <v/>
      </c>
      <c r="T323" s="7"/>
      <c r="U323" s="7"/>
      <c r="V323" s="7"/>
      <c r="W323" s="7"/>
      <c r="X323" s="7"/>
      <c r="Y323" s="7"/>
      <c r="Z323" s="15"/>
      <c r="AA323" s="15"/>
      <c r="AB323" s="11" t="str">
        <f t="shared" ref="AB323:AB386" si="53">IF(AA323&gt;0,LOG10(AA323+1),"")</f>
        <v/>
      </c>
      <c r="AC323" s="11"/>
      <c r="AD323" s="11"/>
      <c r="AE323" s="11"/>
      <c r="AF323" s="11"/>
      <c r="AG323" s="11"/>
      <c r="AH323" s="11"/>
      <c r="AI323" s="11"/>
      <c r="AJ323" s="15"/>
      <c r="AK323" s="15"/>
      <c r="AL323" s="14">
        <f t="shared" ref="AL323:AL386" si="54">IF(W323&gt;=5,9,IF(W323 &gt;=3,7,IF(W323=0,3,5)))</f>
        <v>3</v>
      </c>
      <c r="AM323" s="11">
        <f t="shared" ref="AM323:AM386" si="55">IF(I323&lt;4,3,IF(I323&lt;6,5,IF(I323&lt;11,7,9)))</f>
        <v>3</v>
      </c>
      <c r="AN323" s="14">
        <f t="shared" ref="AN323:AN386" si="56">IF(AB323=0,"3",
 IF(AB323="",3,
 IF(AB323&lt;=_xlfn.PERCENTILE.INC($AB$2:$AB$105,0.25),3,
 IF(AB323&lt;=_xlfn.PERCENTILE.INC($AB$2:$AB$105,0.5),5,
 IF(AB323&lt;=_xlfn.PERCENTILE.INC($AB$2:$AB$105,0.75),7,
 9)))))</f>
        <v>3</v>
      </c>
      <c r="AO323" s="15"/>
      <c r="AP323" s="15"/>
      <c r="AQ323" s="15"/>
    </row>
    <row r="324" spans="1:43" ht="51" hidden="1" x14ac:dyDescent="0.2">
      <c r="A324" s="7">
        <v>323</v>
      </c>
      <c r="B324" s="19" t="s">
        <v>705</v>
      </c>
      <c r="C324" s="19" t="s">
        <v>706</v>
      </c>
      <c r="D324" s="8" t="s">
        <v>34</v>
      </c>
      <c r="E324" s="19" t="s">
        <v>269</v>
      </c>
      <c r="F324" s="8" t="s">
        <v>36</v>
      </c>
      <c r="G324" s="7" t="s">
        <v>59</v>
      </c>
      <c r="H324" s="9" t="s">
        <v>44</v>
      </c>
      <c r="I324" s="10"/>
      <c r="J324" s="10" t="s">
        <v>40</v>
      </c>
      <c r="K324" s="10" t="s">
        <v>40</v>
      </c>
      <c r="L324" s="10" t="s">
        <v>40</v>
      </c>
      <c r="M324">
        <v>0</v>
      </c>
      <c r="N324">
        <v>0</v>
      </c>
      <c r="O324">
        <v>0</v>
      </c>
      <c r="P324" s="10" t="s">
        <v>44</v>
      </c>
      <c r="Q324" s="10">
        <f t="array" ref="Q324">IFERROR(SUMPRODUCT((N324:P324&gt;0)*(N324:P324))/3, 0)</f>
        <v>0</v>
      </c>
      <c r="R324" s="10"/>
      <c r="S324" s="11" t="str">
        <f t="shared" si="52"/>
        <v/>
      </c>
      <c r="T324" s="7"/>
      <c r="U324" s="7"/>
      <c r="V324" s="7"/>
      <c r="W324" s="7"/>
      <c r="X324" s="7"/>
      <c r="Y324" s="7"/>
      <c r="Z324" s="15"/>
      <c r="AA324" s="15"/>
      <c r="AB324" s="11" t="str">
        <f t="shared" si="53"/>
        <v/>
      </c>
      <c r="AC324" s="11"/>
      <c r="AD324" s="11"/>
      <c r="AE324" s="11"/>
      <c r="AF324" s="11"/>
      <c r="AG324" s="11"/>
      <c r="AH324" s="11"/>
      <c r="AI324" s="11"/>
      <c r="AJ324" s="15"/>
      <c r="AK324" s="15"/>
      <c r="AL324" s="14">
        <f t="shared" si="54"/>
        <v>3</v>
      </c>
      <c r="AM324" s="11">
        <f t="shared" si="55"/>
        <v>3</v>
      </c>
      <c r="AN324" s="14">
        <f t="shared" si="56"/>
        <v>3</v>
      </c>
      <c r="AO324" s="15"/>
      <c r="AP324" s="15"/>
      <c r="AQ324" s="15"/>
    </row>
    <row r="325" spans="1:43" ht="51" hidden="1" x14ac:dyDescent="0.2">
      <c r="A325" s="7">
        <v>324</v>
      </c>
      <c r="B325" s="19" t="s">
        <v>707</v>
      </c>
      <c r="C325" s="19" t="s">
        <v>708</v>
      </c>
      <c r="D325" s="8" t="s">
        <v>34</v>
      </c>
      <c r="E325" s="19" t="s">
        <v>269</v>
      </c>
      <c r="F325" s="8" t="s">
        <v>36</v>
      </c>
      <c r="G325" s="7" t="s">
        <v>59</v>
      </c>
      <c r="H325" s="9" t="s">
        <v>44</v>
      </c>
      <c r="I325" s="10"/>
      <c r="J325" s="10" t="s">
        <v>40</v>
      </c>
      <c r="K325" s="10" t="s">
        <v>40</v>
      </c>
      <c r="L325" s="10" t="s">
        <v>40</v>
      </c>
      <c r="M325">
        <v>0</v>
      </c>
      <c r="N325">
        <v>0</v>
      </c>
      <c r="O325">
        <v>0</v>
      </c>
      <c r="P325" s="10" t="s">
        <v>44</v>
      </c>
      <c r="Q325" s="10">
        <f t="array" ref="Q325">IFERROR(SUMPRODUCT((N325:P325&gt;0)*(N325:P325))/3, 0)</f>
        <v>0</v>
      </c>
      <c r="R325" s="10"/>
      <c r="S325" s="11" t="str">
        <f t="shared" si="52"/>
        <v/>
      </c>
      <c r="T325" s="7"/>
      <c r="U325" s="7"/>
      <c r="V325" s="7"/>
      <c r="W325" s="7"/>
      <c r="X325" s="7"/>
      <c r="Y325" s="7"/>
      <c r="Z325" s="15"/>
      <c r="AA325" s="15"/>
      <c r="AB325" s="11" t="str">
        <f t="shared" si="53"/>
        <v/>
      </c>
      <c r="AC325" s="11"/>
      <c r="AD325" s="11"/>
      <c r="AE325" s="11"/>
      <c r="AF325" s="11"/>
      <c r="AG325" s="11"/>
      <c r="AH325" s="11"/>
      <c r="AI325" s="11"/>
      <c r="AJ325" s="15"/>
      <c r="AK325" s="15"/>
      <c r="AL325" s="14">
        <f t="shared" si="54"/>
        <v>3</v>
      </c>
      <c r="AM325" s="11">
        <f t="shared" si="55"/>
        <v>3</v>
      </c>
      <c r="AN325" s="14">
        <f t="shared" si="56"/>
        <v>3</v>
      </c>
      <c r="AO325" s="15"/>
      <c r="AP325" s="15"/>
      <c r="AQ325" s="15"/>
    </row>
    <row r="326" spans="1:43" ht="51" hidden="1" x14ac:dyDescent="0.2">
      <c r="A326" s="7">
        <v>325</v>
      </c>
      <c r="B326" s="19" t="s">
        <v>709</v>
      </c>
      <c r="C326" s="19" t="s">
        <v>710</v>
      </c>
      <c r="D326" s="8" t="s">
        <v>34</v>
      </c>
      <c r="E326" s="19" t="s">
        <v>269</v>
      </c>
      <c r="F326" s="8" t="s">
        <v>36</v>
      </c>
      <c r="G326" s="7" t="s">
        <v>59</v>
      </c>
      <c r="H326" s="9" t="s">
        <v>44</v>
      </c>
      <c r="I326" s="10"/>
      <c r="J326" s="10" t="s">
        <v>40</v>
      </c>
      <c r="K326" s="10" t="s">
        <v>40</v>
      </c>
      <c r="L326" s="10" t="s">
        <v>40</v>
      </c>
      <c r="M326">
        <v>0</v>
      </c>
      <c r="N326">
        <v>0</v>
      </c>
      <c r="O326">
        <v>0</v>
      </c>
      <c r="P326" s="10" t="s">
        <v>44</v>
      </c>
      <c r="Q326" s="10">
        <f t="array" ref="Q326">IFERROR(SUMPRODUCT((N326:P326&gt;0)*(N326:P326))/3, 0)</f>
        <v>0</v>
      </c>
      <c r="R326" s="10"/>
      <c r="S326" s="11" t="str">
        <f t="shared" si="52"/>
        <v/>
      </c>
      <c r="T326" s="7"/>
      <c r="U326" s="7"/>
      <c r="V326" s="7"/>
      <c r="W326" s="7"/>
      <c r="X326" s="7"/>
      <c r="Y326" s="7"/>
      <c r="Z326" s="15"/>
      <c r="AA326" s="15"/>
      <c r="AB326" s="11" t="str">
        <f t="shared" si="53"/>
        <v/>
      </c>
      <c r="AC326" s="11"/>
      <c r="AD326" s="11"/>
      <c r="AE326" s="11"/>
      <c r="AF326" s="11"/>
      <c r="AG326" s="11"/>
      <c r="AH326" s="11"/>
      <c r="AI326" s="11"/>
      <c r="AJ326" s="15"/>
      <c r="AK326" s="15"/>
      <c r="AL326" s="14">
        <f t="shared" si="54"/>
        <v>3</v>
      </c>
      <c r="AM326" s="11">
        <f t="shared" si="55"/>
        <v>3</v>
      </c>
      <c r="AN326" s="14">
        <f t="shared" si="56"/>
        <v>3</v>
      </c>
      <c r="AO326" s="15"/>
      <c r="AP326" s="15"/>
      <c r="AQ326" s="15"/>
    </row>
    <row r="327" spans="1:43" ht="51" hidden="1" x14ac:dyDescent="0.2">
      <c r="A327" s="7">
        <v>326</v>
      </c>
      <c r="B327" s="19" t="s">
        <v>711</v>
      </c>
      <c r="C327" s="19" t="s">
        <v>712</v>
      </c>
      <c r="D327" s="8" t="s">
        <v>34</v>
      </c>
      <c r="E327" s="19" t="s">
        <v>269</v>
      </c>
      <c r="F327" s="8" t="s">
        <v>36</v>
      </c>
      <c r="G327" s="7" t="s">
        <v>59</v>
      </c>
      <c r="H327" s="9" t="s">
        <v>44</v>
      </c>
      <c r="I327" s="10"/>
      <c r="J327" s="10" t="s">
        <v>40</v>
      </c>
      <c r="K327" s="10" t="s">
        <v>40</v>
      </c>
      <c r="L327" s="10" t="s">
        <v>40</v>
      </c>
      <c r="M327">
        <v>0</v>
      </c>
      <c r="N327">
        <v>0</v>
      </c>
      <c r="O327">
        <v>0</v>
      </c>
      <c r="P327" s="10" t="s">
        <v>44</v>
      </c>
      <c r="Q327" s="10">
        <f t="array" ref="Q327">IFERROR(SUMPRODUCT((N327:P327&gt;0)*(N327:P327))/3, 0)</f>
        <v>0</v>
      </c>
      <c r="R327" s="10"/>
      <c r="S327" s="11" t="str">
        <f t="shared" si="52"/>
        <v/>
      </c>
      <c r="T327" s="7"/>
      <c r="U327" s="7"/>
      <c r="V327" s="7"/>
      <c r="W327" s="7"/>
      <c r="X327" s="7"/>
      <c r="Y327" s="7"/>
      <c r="Z327" s="15"/>
      <c r="AA327" s="15"/>
      <c r="AB327" s="11" t="str">
        <f t="shared" si="53"/>
        <v/>
      </c>
      <c r="AC327" s="11"/>
      <c r="AD327" s="11"/>
      <c r="AE327" s="11"/>
      <c r="AF327" s="11"/>
      <c r="AG327" s="11"/>
      <c r="AH327" s="11"/>
      <c r="AI327" s="11"/>
      <c r="AJ327" s="15"/>
      <c r="AK327" s="15"/>
      <c r="AL327" s="14">
        <f t="shared" si="54"/>
        <v>3</v>
      </c>
      <c r="AM327" s="11">
        <f t="shared" si="55"/>
        <v>3</v>
      </c>
      <c r="AN327" s="14">
        <f t="shared" si="56"/>
        <v>3</v>
      </c>
      <c r="AO327" s="15"/>
      <c r="AP327" s="15"/>
      <c r="AQ327" s="15"/>
    </row>
    <row r="328" spans="1:43" ht="51" hidden="1" x14ac:dyDescent="0.2">
      <c r="A328" s="7">
        <v>327</v>
      </c>
      <c r="B328" s="19" t="s">
        <v>713</v>
      </c>
      <c r="C328" s="19" t="s">
        <v>714</v>
      </c>
      <c r="D328" s="8" t="s">
        <v>34</v>
      </c>
      <c r="E328" s="19" t="s">
        <v>269</v>
      </c>
      <c r="F328" s="8" t="s">
        <v>36</v>
      </c>
      <c r="G328" s="7" t="s">
        <v>59</v>
      </c>
      <c r="H328" s="9" t="s">
        <v>44</v>
      </c>
      <c r="I328" s="10"/>
      <c r="J328" s="10" t="s">
        <v>40</v>
      </c>
      <c r="K328" s="10" t="s">
        <v>40</v>
      </c>
      <c r="L328" s="10" t="s">
        <v>40</v>
      </c>
      <c r="M328">
        <v>0</v>
      </c>
      <c r="N328">
        <v>0</v>
      </c>
      <c r="O328">
        <v>0</v>
      </c>
      <c r="P328" s="10" t="s">
        <v>44</v>
      </c>
      <c r="Q328" s="10">
        <f t="array" ref="Q328">IFERROR(SUMPRODUCT((N328:P328&gt;0)*(N328:P328))/3, 0)</f>
        <v>0</v>
      </c>
      <c r="R328" s="10"/>
      <c r="S328" s="11" t="str">
        <f t="shared" si="52"/>
        <v/>
      </c>
      <c r="T328" s="7"/>
      <c r="U328" s="7"/>
      <c r="V328" s="7"/>
      <c r="W328" s="7"/>
      <c r="X328" s="7"/>
      <c r="Y328" s="7"/>
      <c r="Z328" s="15"/>
      <c r="AA328" s="15"/>
      <c r="AB328" s="11" t="str">
        <f t="shared" si="53"/>
        <v/>
      </c>
      <c r="AC328" s="11"/>
      <c r="AD328" s="11"/>
      <c r="AE328" s="11"/>
      <c r="AF328" s="11"/>
      <c r="AG328" s="11"/>
      <c r="AH328" s="11"/>
      <c r="AI328" s="11"/>
      <c r="AJ328" s="15"/>
      <c r="AK328" s="15"/>
      <c r="AL328" s="14">
        <f t="shared" si="54"/>
        <v>3</v>
      </c>
      <c r="AM328" s="11">
        <f t="shared" si="55"/>
        <v>3</v>
      </c>
      <c r="AN328" s="14">
        <f t="shared" si="56"/>
        <v>3</v>
      </c>
      <c r="AO328" s="15"/>
      <c r="AP328" s="15"/>
      <c r="AQ328" s="15"/>
    </row>
    <row r="329" spans="1:43" ht="51" hidden="1" x14ac:dyDescent="0.2">
      <c r="A329" s="7">
        <v>328</v>
      </c>
      <c r="B329" s="19" t="s">
        <v>715</v>
      </c>
      <c r="C329" s="19" t="s">
        <v>716</v>
      </c>
      <c r="D329" s="8" t="s">
        <v>34</v>
      </c>
      <c r="E329" s="19" t="s">
        <v>269</v>
      </c>
      <c r="F329" s="8" t="s">
        <v>36</v>
      </c>
      <c r="G329" s="7" t="s">
        <v>59</v>
      </c>
      <c r="H329" s="9" t="s">
        <v>44</v>
      </c>
      <c r="I329" s="10"/>
      <c r="J329" s="10" t="s">
        <v>40</v>
      </c>
      <c r="K329" s="10" t="s">
        <v>40</v>
      </c>
      <c r="L329" s="10" t="s">
        <v>40</v>
      </c>
      <c r="M329">
        <v>0</v>
      </c>
      <c r="N329">
        <v>0</v>
      </c>
      <c r="O329">
        <v>0</v>
      </c>
      <c r="P329" s="10" t="s">
        <v>44</v>
      </c>
      <c r="Q329" s="10">
        <f t="array" ref="Q329">IFERROR(SUMPRODUCT((N329:P329&gt;0)*(N329:P329))/3, 0)</f>
        <v>0</v>
      </c>
      <c r="R329" s="10"/>
      <c r="S329" s="11" t="str">
        <f t="shared" si="52"/>
        <v/>
      </c>
      <c r="T329" s="7"/>
      <c r="U329" s="7"/>
      <c r="V329" s="7"/>
      <c r="W329" s="7"/>
      <c r="X329" s="7"/>
      <c r="Y329" s="7"/>
      <c r="Z329" s="15"/>
      <c r="AA329" s="15"/>
      <c r="AB329" s="11" t="str">
        <f t="shared" si="53"/>
        <v/>
      </c>
      <c r="AC329" s="11"/>
      <c r="AD329" s="11"/>
      <c r="AE329" s="11"/>
      <c r="AF329" s="11"/>
      <c r="AG329" s="11"/>
      <c r="AH329" s="11"/>
      <c r="AI329" s="11"/>
      <c r="AJ329" s="15"/>
      <c r="AK329" s="15"/>
      <c r="AL329" s="14">
        <f t="shared" si="54"/>
        <v>3</v>
      </c>
      <c r="AM329" s="11">
        <f t="shared" si="55"/>
        <v>3</v>
      </c>
      <c r="AN329" s="14">
        <f t="shared" si="56"/>
        <v>3</v>
      </c>
      <c r="AO329" s="15"/>
      <c r="AP329" s="15"/>
      <c r="AQ329" s="15"/>
    </row>
    <row r="330" spans="1:43" ht="51" hidden="1" x14ac:dyDescent="0.2">
      <c r="A330" s="7">
        <v>329</v>
      </c>
      <c r="B330" s="19" t="s">
        <v>717</v>
      </c>
      <c r="C330" s="19" t="s">
        <v>718</v>
      </c>
      <c r="D330" s="8" t="s">
        <v>34</v>
      </c>
      <c r="E330" s="19" t="s">
        <v>269</v>
      </c>
      <c r="F330" s="8" t="s">
        <v>36</v>
      </c>
      <c r="G330" s="7" t="s">
        <v>59</v>
      </c>
      <c r="H330" s="9" t="s">
        <v>44</v>
      </c>
      <c r="I330" s="10"/>
      <c r="J330" s="10" t="s">
        <v>40</v>
      </c>
      <c r="K330" s="10" t="s">
        <v>40</v>
      </c>
      <c r="L330" s="10" t="s">
        <v>40</v>
      </c>
      <c r="M330">
        <v>0</v>
      </c>
      <c r="N330">
        <v>0</v>
      </c>
      <c r="O330">
        <v>0</v>
      </c>
      <c r="P330" s="10" t="s">
        <v>44</v>
      </c>
      <c r="Q330" s="10">
        <f t="array" ref="Q330">IFERROR(SUMPRODUCT((N330:P330&gt;0)*(N330:P330))/3, 0)</f>
        <v>0</v>
      </c>
      <c r="R330" s="10"/>
      <c r="S330" s="11" t="str">
        <f t="shared" si="52"/>
        <v/>
      </c>
      <c r="T330" s="7"/>
      <c r="U330" s="7"/>
      <c r="V330" s="7"/>
      <c r="W330" s="7"/>
      <c r="X330" s="7"/>
      <c r="Y330" s="7"/>
      <c r="Z330" s="15"/>
      <c r="AA330" s="15"/>
      <c r="AB330" s="11" t="str">
        <f t="shared" si="53"/>
        <v/>
      </c>
      <c r="AC330" s="11"/>
      <c r="AD330" s="11"/>
      <c r="AE330" s="11"/>
      <c r="AF330" s="11"/>
      <c r="AG330" s="11"/>
      <c r="AH330" s="11"/>
      <c r="AI330" s="11"/>
      <c r="AJ330" s="15"/>
      <c r="AK330" s="15"/>
      <c r="AL330" s="14">
        <f t="shared" si="54"/>
        <v>3</v>
      </c>
      <c r="AM330" s="11">
        <f t="shared" si="55"/>
        <v>3</v>
      </c>
      <c r="AN330" s="14">
        <f t="shared" si="56"/>
        <v>3</v>
      </c>
      <c r="AO330" s="15"/>
      <c r="AP330" s="15"/>
      <c r="AQ330" s="15"/>
    </row>
    <row r="331" spans="1:43" ht="51" hidden="1" x14ac:dyDescent="0.2">
      <c r="A331" s="7">
        <v>330</v>
      </c>
      <c r="B331" s="19" t="s">
        <v>719</v>
      </c>
      <c r="C331" s="19" t="s">
        <v>720</v>
      </c>
      <c r="D331" s="8" t="s">
        <v>34</v>
      </c>
      <c r="E331" s="19" t="s">
        <v>269</v>
      </c>
      <c r="F331" s="8" t="s">
        <v>36</v>
      </c>
      <c r="G331" s="7" t="s">
        <v>59</v>
      </c>
      <c r="H331" s="9" t="s">
        <v>44</v>
      </c>
      <c r="I331" s="10"/>
      <c r="J331" s="10" t="s">
        <v>40</v>
      </c>
      <c r="K331" s="10" t="s">
        <v>40</v>
      </c>
      <c r="L331" s="10" t="s">
        <v>40</v>
      </c>
      <c r="M331">
        <v>0</v>
      </c>
      <c r="N331">
        <v>0</v>
      </c>
      <c r="O331">
        <v>0</v>
      </c>
      <c r="P331" s="10" t="s">
        <v>44</v>
      </c>
      <c r="Q331" s="10">
        <f t="array" ref="Q331">IFERROR(SUMPRODUCT((N331:P331&gt;0)*(N331:P331))/3, 0)</f>
        <v>0</v>
      </c>
      <c r="R331" s="10"/>
      <c r="S331" s="11" t="str">
        <f t="shared" si="52"/>
        <v/>
      </c>
      <c r="T331" s="7"/>
      <c r="U331" s="7"/>
      <c r="V331" s="7"/>
      <c r="W331" s="7"/>
      <c r="X331" s="7"/>
      <c r="Y331" s="7"/>
      <c r="Z331" s="15"/>
      <c r="AA331" s="15"/>
      <c r="AB331" s="11" t="str">
        <f t="shared" si="53"/>
        <v/>
      </c>
      <c r="AC331" s="11"/>
      <c r="AD331" s="11"/>
      <c r="AE331" s="11"/>
      <c r="AF331" s="11"/>
      <c r="AG331" s="11"/>
      <c r="AH331" s="11"/>
      <c r="AI331" s="11"/>
      <c r="AJ331" s="15"/>
      <c r="AK331" s="15"/>
      <c r="AL331" s="14">
        <f t="shared" si="54"/>
        <v>3</v>
      </c>
      <c r="AM331" s="11">
        <f t="shared" si="55"/>
        <v>3</v>
      </c>
      <c r="AN331" s="14">
        <f t="shared" si="56"/>
        <v>3</v>
      </c>
      <c r="AO331" s="15"/>
      <c r="AP331" s="15"/>
      <c r="AQ331" s="15"/>
    </row>
    <row r="332" spans="1:43" ht="51" hidden="1" x14ac:dyDescent="0.2">
      <c r="A332" s="7">
        <v>331</v>
      </c>
      <c r="B332" s="19" t="s">
        <v>721</v>
      </c>
      <c r="C332" s="19" t="s">
        <v>722</v>
      </c>
      <c r="D332" s="8" t="s">
        <v>34</v>
      </c>
      <c r="E332" s="19" t="s">
        <v>269</v>
      </c>
      <c r="F332" s="8" t="s">
        <v>36</v>
      </c>
      <c r="G332" s="7" t="s">
        <v>59</v>
      </c>
      <c r="H332" s="9" t="s">
        <v>44</v>
      </c>
      <c r="I332" s="10"/>
      <c r="J332" s="10" t="s">
        <v>40</v>
      </c>
      <c r="K332" s="10" t="s">
        <v>40</v>
      </c>
      <c r="L332" s="10" t="s">
        <v>40</v>
      </c>
      <c r="M332">
        <v>0</v>
      </c>
      <c r="N332">
        <v>0</v>
      </c>
      <c r="O332">
        <v>0</v>
      </c>
      <c r="P332" s="10" t="s">
        <v>44</v>
      </c>
      <c r="Q332" s="10">
        <f t="array" ref="Q332">IFERROR(SUMPRODUCT((N332:P332&gt;0)*(N332:P332))/3, 0)</f>
        <v>0</v>
      </c>
      <c r="R332" s="10"/>
      <c r="S332" s="11" t="str">
        <f t="shared" si="52"/>
        <v/>
      </c>
      <c r="T332" s="7"/>
      <c r="U332" s="7"/>
      <c r="V332" s="7"/>
      <c r="W332" s="7"/>
      <c r="X332" s="7"/>
      <c r="Y332" s="7"/>
      <c r="Z332" s="15"/>
      <c r="AA332" s="15"/>
      <c r="AB332" s="11" t="str">
        <f t="shared" si="53"/>
        <v/>
      </c>
      <c r="AC332" s="11"/>
      <c r="AD332" s="11"/>
      <c r="AE332" s="11"/>
      <c r="AF332" s="11"/>
      <c r="AG332" s="11"/>
      <c r="AH332" s="11"/>
      <c r="AI332" s="11"/>
      <c r="AJ332" s="15"/>
      <c r="AK332" s="15"/>
      <c r="AL332" s="14">
        <f t="shared" si="54"/>
        <v>3</v>
      </c>
      <c r="AM332" s="11">
        <f t="shared" si="55"/>
        <v>3</v>
      </c>
      <c r="AN332" s="14">
        <f t="shared" si="56"/>
        <v>3</v>
      </c>
      <c r="AO332" s="15"/>
      <c r="AP332" s="15"/>
      <c r="AQ332" s="15"/>
    </row>
    <row r="333" spans="1:43" ht="51" hidden="1" x14ac:dyDescent="0.2">
      <c r="A333" s="7">
        <v>332</v>
      </c>
      <c r="B333" s="19" t="s">
        <v>723</v>
      </c>
      <c r="C333" s="19" t="s">
        <v>724</v>
      </c>
      <c r="D333" s="8" t="s">
        <v>34</v>
      </c>
      <c r="E333" s="19" t="s">
        <v>269</v>
      </c>
      <c r="F333" s="8" t="s">
        <v>36</v>
      </c>
      <c r="G333" s="7" t="s">
        <v>59</v>
      </c>
      <c r="H333" s="9" t="s">
        <v>44</v>
      </c>
      <c r="I333" s="10"/>
      <c r="J333" s="10" t="s">
        <v>40</v>
      </c>
      <c r="K333" s="10" t="s">
        <v>40</v>
      </c>
      <c r="L333" s="10" t="s">
        <v>40</v>
      </c>
      <c r="M333">
        <v>0</v>
      </c>
      <c r="N333">
        <v>0</v>
      </c>
      <c r="O333">
        <v>0</v>
      </c>
      <c r="P333" s="10" t="s">
        <v>44</v>
      </c>
      <c r="Q333" s="10">
        <f t="array" ref="Q333">IFERROR(SUMPRODUCT((N333:P333&gt;0)*(N333:P333))/3, 0)</f>
        <v>0</v>
      </c>
      <c r="R333" s="10"/>
      <c r="S333" s="11" t="str">
        <f t="shared" si="52"/>
        <v/>
      </c>
      <c r="T333" s="7"/>
      <c r="U333" s="7"/>
      <c r="V333" s="7"/>
      <c r="W333" s="7"/>
      <c r="X333" s="7"/>
      <c r="Y333" s="7"/>
      <c r="Z333" s="15"/>
      <c r="AA333" s="15"/>
      <c r="AB333" s="11" t="str">
        <f t="shared" si="53"/>
        <v/>
      </c>
      <c r="AC333" s="11"/>
      <c r="AD333" s="11"/>
      <c r="AE333" s="11"/>
      <c r="AF333" s="11"/>
      <c r="AG333" s="11"/>
      <c r="AH333" s="11"/>
      <c r="AI333" s="11"/>
      <c r="AJ333" s="15"/>
      <c r="AK333" s="15"/>
      <c r="AL333" s="14">
        <f t="shared" si="54"/>
        <v>3</v>
      </c>
      <c r="AM333" s="11">
        <f t="shared" si="55"/>
        <v>3</v>
      </c>
      <c r="AN333" s="14">
        <f t="shared" si="56"/>
        <v>3</v>
      </c>
      <c r="AO333" s="15"/>
      <c r="AP333" s="15"/>
      <c r="AQ333" s="15"/>
    </row>
    <row r="334" spans="1:43" ht="51" hidden="1" x14ac:dyDescent="0.2">
      <c r="A334" s="7">
        <v>333</v>
      </c>
      <c r="B334" s="19" t="s">
        <v>725</v>
      </c>
      <c r="C334" s="19" t="s">
        <v>726</v>
      </c>
      <c r="D334" s="8" t="s">
        <v>34</v>
      </c>
      <c r="E334" s="19" t="s">
        <v>269</v>
      </c>
      <c r="F334" s="8" t="s">
        <v>36</v>
      </c>
      <c r="G334" s="7" t="s">
        <v>59</v>
      </c>
      <c r="H334" s="9" t="s">
        <v>44</v>
      </c>
      <c r="I334" s="10"/>
      <c r="J334" s="10" t="s">
        <v>40</v>
      </c>
      <c r="K334" s="10" t="s">
        <v>40</v>
      </c>
      <c r="L334" s="10" t="s">
        <v>40</v>
      </c>
      <c r="M334">
        <v>0</v>
      </c>
      <c r="N334">
        <v>0</v>
      </c>
      <c r="O334">
        <v>0</v>
      </c>
      <c r="P334" s="10" t="s">
        <v>44</v>
      </c>
      <c r="Q334" s="10">
        <f t="array" ref="Q334">IFERROR(SUMPRODUCT((N334:P334&gt;0)*(N334:P334))/3, 0)</f>
        <v>0</v>
      </c>
      <c r="R334" s="10"/>
      <c r="S334" s="11" t="str">
        <f t="shared" si="52"/>
        <v/>
      </c>
      <c r="T334" s="7"/>
      <c r="U334" s="7"/>
      <c r="V334" s="7"/>
      <c r="W334" s="7"/>
      <c r="X334" s="7"/>
      <c r="Y334" s="7"/>
      <c r="Z334" s="15"/>
      <c r="AA334" s="15"/>
      <c r="AB334" s="11" t="str">
        <f t="shared" si="53"/>
        <v/>
      </c>
      <c r="AC334" s="11"/>
      <c r="AD334" s="11"/>
      <c r="AE334" s="11"/>
      <c r="AF334" s="11"/>
      <c r="AG334" s="11"/>
      <c r="AH334" s="11"/>
      <c r="AI334" s="11"/>
      <c r="AJ334" s="15"/>
      <c r="AK334" s="15"/>
      <c r="AL334" s="14">
        <f t="shared" si="54"/>
        <v>3</v>
      </c>
      <c r="AM334" s="11">
        <f t="shared" si="55"/>
        <v>3</v>
      </c>
      <c r="AN334" s="14">
        <f t="shared" si="56"/>
        <v>3</v>
      </c>
      <c r="AO334" s="15"/>
      <c r="AP334" s="15"/>
      <c r="AQ334" s="15"/>
    </row>
    <row r="335" spans="1:43" ht="51" hidden="1" x14ac:dyDescent="0.2">
      <c r="A335" s="7">
        <v>334</v>
      </c>
      <c r="B335" s="19" t="s">
        <v>727</v>
      </c>
      <c r="C335" s="19" t="s">
        <v>728</v>
      </c>
      <c r="D335" s="8" t="s">
        <v>34</v>
      </c>
      <c r="E335" s="19" t="s">
        <v>269</v>
      </c>
      <c r="F335" s="8" t="s">
        <v>36</v>
      </c>
      <c r="G335" s="7" t="s">
        <v>59</v>
      </c>
      <c r="H335" s="9" t="s">
        <v>44</v>
      </c>
      <c r="I335" s="10"/>
      <c r="J335" s="10" t="s">
        <v>40</v>
      </c>
      <c r="K335" s="10" t="s">
        <v>40</v>
      </c>
      <c r="L335" s="10" t="s">
        <v>40</v>
      </c>
      <c r="M335">
        <v>0</v>
      </c>
      <c r="N335">
        <v>0</v>
      </c>
      <c r="O335">
        <v>0</v>
      </c>
      <c r="P335" s="10" t="s">
        <v>44</v>
      </c>
      <c r="Q335" s="10">
        <f t="array" ref="Q335">IFERROR(SUMPRODUCT((N335:P335&gt;0)*(N335:P335))/3, 0)</f>
        <v>0</v>
      </c>
      <c r="R335" s="10"/>
      <c r="S335" s="11" t="str">
        <f t="shared" si="52"/>
        <v/>
      </c>
      <c r="T335" s="7"/>
      <c r="U335" s="7"/>
      <c r="V335" s="7"/>
      <c r="W335" s="7"/>
      <c r="X335" s="7"/>
      <c r="Y335" s="7"/>
      <c r="Z335" s="15"/>
      <c r="AA335" s="15"/>
      <c r="AB335" s="11" t="str">
        <f t="shared" si="53"/>
        <v/>
      </c>
      <c r="AC335" s="11"/>
      <c r="AD335" s="11"/>
      <c r="AE335" s="11"/>
      <c r="AF335" s="11"/>
      <c r="AG335" s="11"/>
      <c r="AH335" s="11"/>
      <c r="AI335" s="11"/>
      <c r="AJ335" s="15"/>
      <c r="AK335" s="15"/>
      <c r="AL335" s="14">
        <f t="shared" si="54"/>
        <v>3</v>
      </c>
      <c r="AM335" s="11">
        <f t="shared" si="55"/>
        <v>3</v>
      </c>
      <c r="AN335" s="14">
        <f t="shared" si="56"/>
        <v>3</v>
      </c>
      <c r="AO335" s="15"/>
      <c r="AP335" s="15"/>
      <c r="AQ335" s="15"/>
    </row>
    <row r="336" spans="1:43" ht="51" hidden="1" x14ac:dyDescent="0.2">
      <c r="A336" s="7">
        <v>335</v>
      </c>
      <c r="B336" s="19" t="s">
        <v>729</v>
      </c>
      <c r="C336" s="19" t="s">
        <v>730</v>
      </c>
      <c r="D336" s="8" t="s">
        <v>34</v>
      </c>
      <c r="E336" s="19" t="s">
        <v>269</v>
      </c>
      <c r="F336" s="8" t="s">
        <v>36</v>
      </c>
      <c r="G336" s="7" t="s">
        <v>59</v>
      </c>
      <c r="H336" s="9" t="s">
        <v>44</v>
      </c>
      <c r="I336" s="10"/>
      <c r="J336" s="10" t="s">
        <v>40</v>
      </c>
      <c r="K336" s="10" t="s">
        <v>40</v>
      </c>
      <c r="L336" s="10" t="s">
        <v>40</v>
      </c>
      <c r="M336">
        <v>0</v>
      </c>
      <c r="N336">
        <v>0</v>
      </c>
      <c r="O336">
        <v>0</v>
      </c>
      <c r="P336" s="10" t="s">
        <v>44</v>
      </c>
      <c r="Q336" s="10">
        <f t="array" ref="Q336">IFERROR(SUMPRODUCT((N336:P336&gt;0)*(N336:P336))/3, 0)</f>
        <v>0</v>
      </c>
      <c r="R336" s="10"/>
      <c r="S336" s="11" t="str">
        <f t="shared" si="52"/>
        <v/>
      </c>
      <c r="T336" s="7"/>
      <c r="U336" s="7"/>
      <c r="V336" s="7"/>
      <c r="W336" s="7"/>
      <c r="X336" s="7"/>
      <c r="Y336" s="7"/>
      <c r="Z336" s="15"/>
      <c r="AA336" s="15"/>
      <c r="AB336" s="11" t="str">
        <f t="shared" si="53"/>
        <v/>
      </c>
      <c r="AC336" s="11"/>
      <c r="AD336" s="11"/>
      <c r="AE336" s="11"/>
      <c r="AF336" s="11"/>
      <c r="AG336" s="11"/>
      <c r="AH336" s="11"/>
      <c r="AI336" s="11"/>
      <c r="AJ336" s="15"/>
      <c r="AK336" s="15"/>
      <c r="AL336" s="14">
        <f t="shared" si="54"/>
        <v>3</v>
      </c>
      <c r="AM336" s="11">
        <f t="shared" si="55"/>
        <v>3</v>
      </c>
      <c r="AN336" s="14">
        <f t="shared" si="56"/>
        <v>3</v>
      </c>
      <c r="AO336" s="15"/>
      <c r="AP336" s="15"/>
      <c r="AQ336" s="15"/>
    </row>
    <row r="337" spans="1:43" ht="51" hidden="1" x14ac:dyDescent="0.2">
      <c r="A337" s="7">
        <v>336</v>
      </c>
      <c r="B337" s="19" t="s">
        <v>731</v>
      </c>
      <c r="C337" s="19" t="s">
        <v>732</v>
      </c>
      <c r="D337" s="8" t="s">
        <v>34</v>
      </c>
      <c r="E337" s="19" t="s">
        <v>269</v>
      </c>
      <c r="F337" s="8" t="s">
        <v>36</v>
      </c>
      <c r="G337" s="7" t="s">
        <v>59</v>
      </c>
      <c r="H337" s="9" t="s">
        <v>44</v>
      </c>
      <c r="I337" s="10"/>
      <c r="J337" s="10" t="s">
        <v>40</v>
      </c>
      <c r="K337" s="10" t="s">
        <v>40</v>
      </c>
      <c r="L337" s="10" t="s">
        <v>40</v>
      </c>
      <c r="M337">
        <v>0</v>
      </c>
      <c r="N337">
        <v>0</v>
      </c>
      <c r="O337">
        <v>0</v>
      </c>
      <c r="P337" s="10" t="s">
        <v>44</v>
      </c>
      <c r="Q337" s="10">
        <f t="array" ref="Q337">IFERROR(SUMPRODUCT((N337:P337&gt;0)*(N337:P337))/3, 0)</f>
        <v>0</v>
      </c>
      <c r="R337" s="10"/>
      <c r="S337" s="11" t="str">
        <f t="shared" si="52"/>
        <v/>
      </c>
      <c r="T337" s="7"/>
      <c r="U337" s="7"/>
      <c r="V337" s="7"/>
      <c r="W337" s="7"/>
      <c r="X337" s="7"/>
      <c r="Y337" s="7"/>
      <c r="Z337" s="15"/>
      <c r="AA337" s="15"/>
      <c r="AB337" s="11" t="str">
        <f t="shared" si="53"/>
        <v/>
      </c>
      <c r="AC337" s="11"/>
      <c r="AD337" s="11"/>
      <c r="AE337" s="11"/>
      <c r="AF337" s="11"/>
      <c r="AG337" s="11"/>
      <c r="AH337" s="11"/>
      <c r="AI337" s="11"/>
      <c r="AJ337" s="15"/>
      <c r="AK337" s="15"/>
      <c r="AL337" s="14">
        <f t="shared" si="54"/>
        <v>3</v>
      </c>
      <c r="AM337" s="11">
        <f t="shared" si="55"/>
        <v>3</v>
      </c>
      <c r="AN337" s="14">
        <f t="shared" si="56"/>
        <v>3</v>
      </c>
      <c r="AO337" s="15"/>
      <c r="AP337" s="15"/>
      <c r="AQ337" s="15"/>
    </row>
    <row r="338" spans="1:43" ht="51" hidden="1" x14ac:dyDescent="0.2">
      <c r="A338" s="7">
        <v>337</v>
      </c>
      <c r="B338" s="19" t="s">
        <v>733</v>
      </c>
      <c r="C338" s="19" t="s">
        <v>734</v>
      </c>
      <c r="D338" s="8" t="s">
        <v>34</v>
      </c>
      <c r="E338" s="19" t="s">
        <v>269</v>
      </c>
      <c r="F338" s="8" t="s">
        <v>36</v>
      </c>
      <c r="G338" s="7" t="s">
        <v>59</v>
      </c>
      <c r="H338" s="9" t="s">
        <v>44</v>
      </c>
      <c r="I338" s="10"/>
      <c r="J338" s="10" t="s">
        <v>40</v>
      </c>
      <c r="K338" s="10" t="s">
        <v>40</v>
      </c>
      <c r="L338" s="10" t="s">
        <v>40</v>
      </c>
      <c r="M338">
        <v>0</v>
      </c>
      <c r="N338">
        <v>0</v>
      </c>
      <c r="O338">
        <v>0</v>
      </c>
      <c r="P338" s="10" t="s">
        <v>44</v>
      </c>
      <c r="Q338" s="10">
        <f t="array" ref="Q338">IFERROR(SUMPRODUCT((N338:P338&gt;0)*(N338:P338))/3, 0)</f>
        <v>0</v>
      </c>
      <c r="R338" s="10"/>
      <c r="S338" s="11" t="str">
        <f t="shared" si="52"/>
        <v/>
      </c>
      <c r="T338" s="7"/>
      <c r="U338" s="7"/>
      <c r="V338" s="7"/>
      <c r="W338" s="7"/>
      <c r="X338" s="7"/>
      <c r="Y338" s="7"/>
      <c r="Z338" s="15"/>
      <c r="AA338" s="15"/>
      <c r="AB338" s="11" t="str">
        <f t="shared" si="53"/>
        <v/>
      </c>
      <c r="AC338" s="11"/>
      <c r="AD338" s="11"/>
      <c r="AE338" s="11"/>
      <c r="AF338" s="11"/>
      <c r="AG338" s="11"/>
      <c r="AH338" s="11"/>
      <c r="AI338" s="11"/>
      <c r="AJ338" s="15"/>
      <c r="AK338" s="15"/>
      <c r="AL338" s="14">
        <f t="shared" si="54"/>
        <v>3</v>
      </c>
      <c r="AM338" s="11">
        <f t="shared" si="55"/>
        <v>3</v>
      </c>
      <c r="AN338" s="14">
        <f t="shared" si="56"/>
        <v>3</v>
      </c>
      <c r="AO338" s="15"/>
      <c r="AP338" s="15"/>
      <c r="AQ338" s="15"/>
    </row>
    <row r="339" spans="1:43" ht="51" hidden="1" x14ac:dyDescent="0.2">
      <c r="A339" s="7">
        <v>338</v>
      </c>
      <c r="B339" s="19" t="s">
        <v>735</v>
      </c>
      <c r="C339" s="19" t="s">
        <v>736</v>
      </c>
      <c r="D339" s="8" t="s">
        <v>34</v>
      </c>
      <c r="E339" s="19" t="s">
        <v>269</v>
      </c>
      <c r="F339" s="8" t="s">
        <v>36</v>
      </c>
      <c r="G339" s="7" t="s">
        <v>59</v>
      </c>
      <c r="H339" s="9" t="s">
        <v>44</v>
      </c>
      <c r="I339" s="10"/>
      <c r="J339" s="10" t="s">
        <v>40</v>
      </c>
      <c r="K339" s="10" t="s">
        <v>40</v>
      </c>
      <c r="L339" s="10" t="s">
        <v>40</v>
      </c>
      <c r="M339">
        <v>0</v>
      </c>
      <c r="N339">
        <v>0</v>
      </c>
      <c r="O339">
        <v>0</v>
      </c>
      <c r="P339" s="10" t="s">
        <v>44</v>
      </c>
      <c r="Q339" s="10">
        <f t="array" ref="Q339">IFERROR(SUMPRODUCT((N339:P339&gt;0)*(N339:P339))/3, 0)</f>
        <v>0</v>
      </c>
      <c r="R339" s="10"/>
      <c r="S339" s="11" t="str">
        <f t="shared" si="52"/>
        <v/>
      </c>
      <c r="T339" s="7"/>
      <c r="U339" s="7"/>
      <c r="V339" s="7"/>
      <c r="W339" s="7"/>
      <c r="X339" s="7"/>
      <c r="Y339" s="7"/>
      <c r="Z339" s="15"/>
      <c r="AA339" s="15"/>
      <c r="AB339" s="11" t="str">
        <f t="shared" si="53"/>
        <v/>
      </c>
      <c r="AC339" s="11"/>
      <c r="AD339" s="11"/>
      <c r="AE339" s="11"/>
      <c r="AF339" s="11"/>
      <c r="AG339" s="11"/>
      <c r="AH339" s="11"/>
      <c r="AI339" s="11"/>
      <c r="AJ339" s="15"/>
      <c r="AK339" s="15"/>
      <c r="AL339" s="14">
        <f t="shared" si="54"/>
        <v>3</v>
      </c>
      <c r="AM339" s="11">
        <f t="shared" si="55"/>
        <v>3</v>
      </c>
      <c r="AN339" s="14">
        <f t="shared" si="56"/>
        <v>3</v>
      </c>
      <c r="AO339" s="15"/>
      <c r="AP339" s="15"/>
      <c r="AQ339" s="15"/>
    </row>
    <row r="340" spans="1:43" ht="34" hidden="1" x14ac:dyDescent="0.2">
      <c r="A340" s="7">
        <v>339</v>
      </c>
      <c r="B340" s="19" t="s">
        <v>737</v>
      </c>
      <c r="C340" s="19" t="s">
        <v>738</v>
      </c>
      <c r="D340" s="8" t="s">
        <v>34</v>
      </c>
      <c r="E340" s="19" t="s">
        <v>269</v>
      </c>
      <c r="F340" s="8" t="s">
        <v>36</v>
      </c>
      <c r="G340" s="7" t="s">
        <v>59</v>
      </c>
      <c r="H340" s="9" t="s">
        <v>44</v>
      </c>
      <c r="I340" s="10"/>
      <c r="J340" s="10" t="s">
        <v>40</v>
      </c>
      <c r="K340" s="10" t="s">
        <v>40</v>
      </c>
      <c r="L340" s="10" t="s">
        <v>40</v>
      </c>
      <c r="M340">
        <v>0</v>
      </c>
      <c r="N340">
        <v>0</v>
      </c>
      <c r="O340">
        <v>0</v>
      </c>
      <c r="P340" s="10" t="s">
        <v>44</v>
      </c>
      <c r="Q340" s="10">
        <f t="array" ref="Q340">IFERROR(SUMPRODUCT((N340:P340&gt;0)*(N340:P340))/3, 0)</f>
        <v>0</v>
      </c>
      <c r="R340" s="10"/>
      <c r="S340" s="11" t="str">
        <f t="shared" si="52"/>
        <v/>
      </c>
      <c r="T340" s="7"/>
      <c r="U340" s="7"/>
      <c r="V340" s="7"/>
      <c r="W340" s="7"/>
      <c r="X340" s="7"/>
      <c r="Y340" s="7"/>
      <c r="Z340" s="15"/>
      <c r="AA340" s="15"/>
      <c r="AB340" s="11" t="str">
        <f t="shared" si="53"/>
        <v/>
      </c>
      <c r="AC340" s="11"/>
      <c r="AD340" s="11"/>
      <c r="AE340" s="11"/>
      <c r="AF340" s="11"/>
      <c r="AG340" s="11"/>
      <c r="AH340" s="11"/>
      <c r="AI340" s="11"/>
      <c r="AJ340" s="15"/>
      <c r="AK340" s="15"/>
      <c r="AL340" s="14">
        <f t="shared" si="54"/>
        <v>3</v>
      </c>
      <c r="AM340" s="11">
        <f t="shared" si="55"/>
        <v>3</v>
      </c>
      <c r="AN340" s="14">
        <f t="shared" si="56"/>
        <v>3</v>
      </c>
      <c r="AO340" s="15"/>
      <c r="AP340" s="15"/>
      <c r="AQ340" s="15"/>
    </row>
    <row r="341" spans="1:43" ht="51" hidden="1" x14ac:dyDescent="0.2">
      <c r="A341" s="7">
        <v>340</v>
      </c>
      <c r="B341" s="19" t="s">
        <v>739</v>
      </c>
      <c r="C341" s="19" t="s">
        <v>740</v>
      </c>
      <c r="D341" s="8" t="s">
        <v>34</v>
      </c>
      <c r="E341" s="19" t="s">
        <v>269</v>
      </c>
      <c r="F341" s="8" t="s">
        <v>36</v>
      </c>
      <c r="G341" s="7" t="s">
        <v>59</v>
      </c>
      <c r="H341" s="9" t="s">
        <v>44</v>
      </c>
      <c r="I341" s="10"/>
      <c r="J341" s="10" t="s">
        <v>40</v>
      </c>
      <c r="K341" s="10" t="s">
        <v>40</v>
      </c>
      <c r="L341" s="10" t="s">
        <v>40</v>
      </c>
      <c r="M341">
        <v>0</v>
      </c>
      <c r="N341">
        <v>0</v>
      </c>
      <c r="O341">
        <v>0</v>
      </c>
      <c r="P341" s="10" t="s">
        <v>44</v>
      </c>
      <c r="Q341" s="10">
        <f t="array" ref="Q341">IFERROR(SUMPRODUCT((N341:P341&gt;0)*(N341:P341))/3, 0)</f>
        <v>0</v>
      </c>
      <c r="R341" s="10"/>
      <c r="S341" s="11" t="str">
        <f t="shared" si="52"/>
        <v/>
      </c>
      <c r="T341" s="7"/>
      <c r="U341" s="7"/>
      <c r="V341" s="7"/>
      <c r="W341" s="7"/>
      <c r="X341" s="7"/>
      <c r="Y341" s="7"/>
      <c r="Z341" s="15"/>
      <c r="AA341" s="15"/>
      <c r="AB341" s="11" t="str">
        <f t="shared" si="53"/>
        <v/>
      </c>
      <c r="AC341" s="11"/>
      <c r="AD341" s="11"/>
      <c r="AE341" s="11"/>
      <c r="AF341" s="11"/>
      <c r="AG341" s="11"/>
      <c r="AH341" s="11"/>
      <c r="AI341" s="11"/>
      <c r="AJ341" s="15"/>
      <c r="AK341" s="15"/>
      <c r="AL341" s="14">
        <f t="shared" si="54"/>
        <v>3</v>
      </c>
      <c r="AM341" s="11">
        <f t="shared" si="55"/>
        <v>3</v>
      </c>
      <c r="AN341" s="14">
        <f t="shared" si="56"/>
        <v>3</v>
      </c>
      <c r="AO341" s="15"/>
      <c r="AP341" s="15"/>
      <c r="AQ341" s="15"/>
    </row>
    <row r="342" spans="1:43" ht="51" hidden="1" x14ac:dyDescent="0.2">
      <c r="A342" s="7">
        <v>341</v>
      </c>
      <c r="B342" s="19" t="s">
        <v>741</v>
      </c>
      <c r="C342" s="19" t="s">
        <v>742</v>
      </c>
      <c r="D342" s="8" t="s">
        <v>34</v>
      </c>
      <c r="E342" s="19" t="s">
        <v>269</v>
      </c>
      <c r="F342" s="8" t="s">
        <v>36</v>
      </c>
      <c r="G342" s="7" t="s">
        <v>59</v>
      </c>
      <c r="H342" s="9" t="s">
        <v>44</v>
      </c>
      <c r="I342" s="10"/>
      <c r="J342" s="10" t="s">
        <v>40</v>
      </c>
      <c r="K342" s="10" t="s">
        <v>40</v>
      </c>
      <c r="L342" s="10" t="s">
        <v>40</v>
      </c>
      <c r="M342">
        <v>0</v>
      </c>
      <c r="N342">
        <v>0</v>
      </c>
      <c r="O342">
        <v>0</v>
      </c>
      <c r="P342" s="10" t="s">
        <v>44</v>
      </c>
      <c r="Q342" s="10">
        <f t="array" ref="Q342">IFERROR(SUMPRODUCT((N342:P342&gt;0)*(N342:P342))/3, 0)</f>
        <v>0</v>
      </c>
      <c r="R342" s="10"/>
      <c r="S342" s="11" t="str">
        <f t="shared" si="52"/>
        <v/>
      </c>
      <c r="T342" s="7"/>
      <c r="U342" s="7"/>
      <c r="V342" s="7"/>
      <c r="W342" s="7"/>
      <c r="X342" s="7"/>
      <c r="Y342" s="7"/>
      <c r="Z342" s="15"/>
      <c r="AA342" s="15"/>
      <c r="AB342" s="11" t="str">
        <f t="shared" si="53"/>
        <v/>
      </c>
      <c r="AC342" s="11"/>
      <c r="AD342" s="11"/>
      <c r="AE342" s="11"/>
      <c r="AF342" s="11"/>
      <c r="AG342" s="11"/>
      <c r="AH342" s="11"/>
      <c r="AI342" s="11"/>
      <c r="AJ342" s="15"/>
      <c r="AK342" s="15"/>
      <c r="AL342" s="14">
        <f t="shared" si="54"/>
        <v>3</v>
      </c>
      <c r="AM342" s="11">
        <f t="shared" si="55"/>
        <v>3</v>
      </c>
      <c r="AN342" s="14">
        <f t="shared" si="56"/>
        <v>3</v>
      </c>
      <c r="AO342" s="15"/>
      <c r="AP342" s="15"/>
      <c r="AQ342" s="15"/>
    </row>
    <row r="343" spans="1:43" ht="51" hidden="1" x14ac:dyDescent="0.2">
      <c r="A343" s="7">
        <v>342</v>
      </c>
      <c r="B343" s="19" t="s">
        <v>743</v>
      </c>
      <c r="C343" s="19" t="s">
        <v>744</v>
      </c>
      <c r="D343" s="8" t="s">
        <v>34</v>
      </c>
      <c r="E343" s="19" t="s">
        <v>269</v>
      </c>
      <c r="F343" s="8" t="s">
        <v>36</v>
      </c>
      <c r="G343" s="7" t="s">
        <v>59</v>
      </c>
      <c r="H343" s="9" t="s">
        <v>44</v>
      </c>
      <c r="I343" s="10"/>
      <c r="J343" s="10" t="s">
        <v>40</v>
      </c>
      <c r="K343" s="10" t="s">
        <v>40</v>
      </c>
      <c r="L343" s="10" t="s">
        <v>40</v>
      </c>
      <c r="M343">
        <v>0</v>
      </c>
      <c r="N343">
        <v>0</v>
      </c>
      <c r="O343">
        <v>0</v>
      </c>
      <c r="P343" s="10" t="s">
        <v>44</v>
      </c>
      <c r="Q343" s="10">
        <f t="array" ref="Q343">IFERROR(SUMPRODUCT((N343:P343&gt;0)*(N343:P343))/3, 0)</f>
        <v>0</v>
      </c>
      <c r="R343" s="10"/>
      <c r="S343" s="11" t="str">
        <f t="shared" si="52"/>
        <v/>
      </c>
      <c r="T343" s="7"/>
      <c r="U343" s="7"/>
      <c r="V343" s="7"/>
      <c r="W343" s="7"/>
      <c r="X343" s="7"/>
      <c r="Y343" s="7"/>
      <c r="Z343" s="15"/>
      <c r="AA343" s="15"/>
      <c r="AB343" s="11" t="str">
        <f t="shared" si="53"/>
        <v/>
      </c>
      <c r="AC343" s="11"/>
      <c r="AD343" s="11"/>
      <c r="AE343" s="11"/>
      <c r="AF343" s="11"/>
      <c r="AG343" s="11"/>
      <c r="AH343" s="11"/>
      <c r="AI343" s="11"/>
      <c r="AJ343" s="15"/>
      <c r="AK343" s="15"/>
      <c r="AL343" s="14">
        <f t="shared" si="54"/>
        <v>3</v>
      </c>
      <c r="AM343" s="11">
        <f t="shared" si="55"/>
        <v>3</v>
      </c>
      <c r="AN343" s="14">
        <f t="shared" si="56"/>
        <v>3</v>
      </c>
      <c r="AO343" s="15"/>
      <c r="AP343" s="15"/>
      <c r="AQ343" s="15"/>
    </row>
    <row r="344" spans="1:43" ht="51" hidden="1" x14ac:dyDescent="0.2">
      <c r="A344" s="7">
        <v>343</v>
      </c>
      <c r="B344" s="19" t="s">
        <v>745</v>
      </c>
      <c r="C344" s="19" t="s">
        <v>746</v>
      </c>
      <c r="D344" s="8" t="s">
        <v>34</v>
      </c>
      <c r="E344" s="19" t="s">
        <v>269</v>
      </c>
      <c r="F344" s="8" t="s">
        <v>36</v>
      </c>
      <c r="G344" s="7" t="s">
        <v>59</v>
      </c>
      <c r="H344" s="9" t="s">
        <v>44</v>
      </c>
      <c r="I344" s="10"/>
      <c r="J344" s="10" t="s">
        <v>40</v>
      </c>
      <c r="K344" s="10" t="s">
        <v>40</v>
      </c>
      <c r="L344" s="10" t="s">
        <v>40</v>
      </c>
      <c r="M344">
        <v>0</v>
      </c>
      <c r="N344">
        <v>0</v>
      </c>
      <c r="O344">
        <v>0</v>
      </c>
      <c r="P344" s="10" t="s">
        <v>44</v>
      </c>
      <c r="Q344" s="10">
        <f t="array" ref="Q344">IFERROR(SUMPRODUCT((N344:P344&gt;0)*(N344:P344))/3, 0)</f>
        <v>0</v>
      </c>
      <c r="R344" s="10"/>
      <c r="S344" s="11" t="str">
        <f t="shared" si="52"/>
        <v/>
      </c>
      <c r="T344" s="7"/>
      <c r="U344" s="7"/>
      <c r="V344" s="7"/>
      <c r="W344" s="7"/>
      <c r="X344" s="7"/>
      <c r="Y344" s="7"/>
      <c r="Z344" s="15"/>
      <c r="AA344" s="15"/>
      <c r="AB344" s="11" t="str">
        <f t="shared" si="53"/>
        <v/>
      </c>
      <c r="AC344" s="11"/>
      <c r="AD344" s="11"/>
      <c r="AE344" s="11"/>
      <c r="AF344" s="11"/>
      <c r="AG344" s="11"/>
      <c r="AH344" s="11"/>
      <c r="AI344" s="11"/>
      <c r="AJ344" s="15"/>
      <c r="AK344" s="15"/>
      <c r="AL344" s="14">
        <f t="shared" si="54"/>
        <v>3</v>
      </c>
      <c r="AM344" s="11">
        <f t="shared" si="55"/>
        <v>3</v>
      </c>
      <c r="AN344" s="14">
        <f t="shared" si="56"/>
        <v>3</v>
      </c>
      <c r="AO344" s="15"/>
      <c r="AP344" s="15"/>
      <c r="AQ344" s="15"/>
    </row>
    <row r="345" spans="1:43" ht="51" hidden="1" x14ac:dyDescent="0.2">
      <c r="A345" s="7">
        <v>344</v>
      </c>
      <c r="B345" s="19" t="s">
        <v>747</v>
      </c>
      <c r="C345" s="19" t="s">
        <v>748</v>
      </c>
      <c r="D345" s="8" t="s">
        <v>34</v>
      </c>
      <c r="E345" s="19" t="s">
        <v>269</v>
      </c>
      <c r="F345" s="8" t="s">
        <v>36</v>
      </c>
      <c r="G345" s="7" t="s">
        <v>59</v>
      </c>
      <c r="H345" s="9" t="s">
        <v>44</v>
      </c>
      <c r="I345" s="10"/>
      <c r="J345" s="10" t="s">
        <v>40</v>
      </c>
      <c r="K345" s="10" t="s">
        <v>40</v>
      </c>
      <c r="L345" s="10" t="s">
        <v>40</v>
      </c>
      <c r="M345">
        <v>0</v>
      </c>
      <c r="N345">
        <v>0</v>
      </c>
      <c r="O345">
        <v>0</v>
      </c>
      <c r="P345" s="10" t="s">
        <v>44</v>
      </c>
      <c r="Q345" s="10">
        <f t="array" ref="Q345">IFERROR(SUMPRODUCT((N345:P345&gt;0)*(N345:P345))/3, 0)</f>
        <v>0</v>
      </c>
      <c r="R345" s="10"/>
      <c r="S345" s="11" t="str">
        <f t="shared" si="52"/>
        <v/>
      </c>
      <c r="T345" s="7"/>
      <c r="U345" s="7"/>
      <c r="V345" s="7"/>
      <c r="W345" s="7"/>
      <c r="X345" s="7"/>
      <c r="Y345" s="7"/>
      <c r="Z345" s="15"/>
      <c r="AA345" s="15"/>
      <c r="AB345" s="11" t="str">
        <f t="shared" si="53"/>
        <v/>
      </c>
      <c r="AC345" s="11"/>
      <c r="AD345" s="11"/>
      <c r="AE345" s="11"/>
      <c r="AF345" s="11"/>
      <c r="AG345" s="11"/>
      <c r="AH345" s="11"/>
      <c r="AI345" s="11"/>
      <c r="AJ345" s="15"/>
      <c r="AK345" s="15"/>
      <c r="AL345" s="14">
        <f t="shared" si="54"/>
        <v>3</v>
      </c>
      <c r="AM345" s="11">
        <f t="shared" si="55"/>
        <v>3</v>
      </c>
      <c r="AN345" s="14">
        <f t="shared" si="56"/>
        <v>3</v>
      </c>
      <c r="AO345" s="15"/>
      <c r="AP345" s="15"/>
      <c r="AQ345" s="15"/>
    </row>
    <row r="346" spans="1:43" ht="51" hidden="1" x14ac:dyDescent="0.2">
      <c r="A346" s="7">
        <v>345</v>
      </c>
      <c r="B346" s="19" t="s">
        <v>749</v>
      </c>
      <c r="C346" s="19" t="s">
        <v>750</v>
      </c>
      <c r="D346" s="8" t="s">
        <v>34</v>
      </c>
      <c r="E346" s="19" t="s">
        <v>269</v>
      </c>
      <c r="F346" s="8" t="s">
        <v>36</v>
      </c>
      <c r="G346" s="7" t="s">
        <v>59</v>
      </c>
      <c r="H346" s="9" t="s">
        <v>44</v>
      </c>
      <c r="I346" s="10"/>
      <c r="J346" s="10" t="s">
        <v>40</v>
      </c>
      <c r="K346" s="10" t="s">
        <v>40</v>
      </c>
      <c r="L346" s="10" t="s">
        <v>40</v>
      </c>
      <c r="M346">
        <v>0</v>
      </c>
      <c r="N346">
        <v>0</v>
      </c>
      <c r="O346">
        <v>0</v>
      </c>
      <c r="P346" s="10" t="s">
        <v>44</v>
      </c>
      <c r="Q346" s="10">
        <f t="array" ref="Q346">IFERROR(SUMPRODUCT((N346:P346&gt;0)*(N346:P346))/3, 0)</f>
        <v>0</v>
      </c>
      <c r="R346" s="10"/>
      <c r="S346" s="11" t="str">
        <f t="shared" si="52"/>
        <v/>
      </c>
      <c r="T346" s="7"/>
      <c r="U346" s="7"/>
      <c r="V346" s="7"/>
      <c r="W346" s="7"/>
      <c r="X346" s="7"/>
      <c r="Y346" s="7"/>
      <c r="Z346" s="15"/>
      <c r="AA346" s="15"/>
      <c r="AB346" s="11" t="str">
        <f t="shared" si="53"/>
        <v/>
      </c>
      <c r="AC346" s="11"/>
      <c r="AD346" s="11"/>
      <c r="AE346" s="11"/>
      <c r="AF346" s="11"/>
      <c r="AG346" s="11"/>
      <c r="AH346" s="11"/>
      <c r="AI346" s="11"/>
      <c r="AJ346" s="15"/>
      <c r="AK346" s="15"/>
      <c r="AL346" s="14">
        <f t="shared" si="54"/>
        <v>3</v>
      </c>
      <c r="AM346" s="11">
        <f t="shared" si="55"/>
        <v>3</v>
      </c>
      <c r="AN346" s="14">
        <f t="shared" si="56"/>
        <v>3</v>
      </c>
      <c r="AO346" s="15"/>
      <c r="AP346" s="15"/>
      <c r="AQ346" s="15"/>
    </row>
    <row r="347" spans="1:43" ht="51" hidden="1" x14ac:dyDescent="0.2">
      <c r="A347" s="7">
        <v>346</v>
      </c>
      <c r="B347" s="19" t="s">
        <v>751</v>
      </c>
      <c r="C347" s="19" t="s">
        <v>752</v>
      </c>
      <c r="D347" s="8" t="s">
        <v>34</v>
      </c>
      <c r="E347" s="19" t="s">
        <v>269</v>
      </c>
      <c r="F347" s="8" t="s">
        <v>36</v>
      </c>
      <c r="G347" s="7" t="s">
        <v>59</v>
      </c>
      <c r="H347" s="9" t="s">
        <v>44</v>
      </c>
      <c r="I347" s="10"/>
      <c r="J347" s="10" t="s">
        <v>40</v>
      </c>
      <c r="K347" s="10" t="s">
        <v>40</v>
      </c>
      <c r="L347" s="10" t="s">
        <v>40</v>
      </c>
      <c r="M347">
        <v>0</v>
      </c>
      <c r="N347">
        <v>0</v>
      </c>
      <c r="O347">
        <v>0</v>
      </c>
      <c r="P347" s="10" t="s">
        <v>44</v>
      </c>
      <c r="Q347" s="10">
        <f t="array" ref="Q347">IFERROR(SUMPRODUCT((N347:P347&gt;0)*(N347:P347))/3, 0)</f>
        <v>0</v>
      </c>
      <c r="R347" s="10"/>
      <c r="S347" s="11" t="str">
        <f t="shared" si="52"/>
        <v/>
      </c>
      <c r="T347" s="7"/>
      <c r="U347" s="7"/>
      <c r="V347" s="7"/>
      <c r="W347" s="7"/>
      <c r="X347" s="7"/>
      <c r="Y347" s="7"/>
      <c r="Z347" s="15"/>
      <c r="AA347" s="15"/>
      <c r="AB347" s="11" t="str">
        <f t="shared" si="53"/>
        <v/>
      </c>
      <c r="AC347" s="11"/>
      <c r="AD347" s="11"/>
      <c r="AE347" s="11"/>
      <c r="AF347" s="11"/>
      <c r="AG347" s="11"/>
      <c r="AH347" s="11"/>
      <c r="AI347" s="11"/>
      <c r="AJ347" s="15"/>
      <c r="AK347" s="15"/>
      <c r="AL347" s="14">
        <f t="shared" si="54"/>
        <v>3</v>
      </c>
      <c r="AM347" s="11">
        <f t="shared" si="55"/>
        <v>3</v>
      </c>
      <c r="AN347" s="14">
        <f t="shared" si="56"/>
        <v>3</v>
      </c>
      <c r="AO347" s="15"/>
      <c r="AP347" s="15"/>
      <c r="AQ347" s="15"/>
    </row>
    <row r="348" spans="1:43" ht="51" hidden="1" x14ac:dyDescent="0.2">
      <c r="A348" s="7">
        <v>347</v>
      </c>
      <c r="B348" s="19" t="s">
        <v>753</v>
      </c>
      <c r="C348" s="19" t="s">
        <v>754</v>
      </c>
      <c r="D348" s="8" t="s">
        <v>34</v>
      </c>
      <c r="E348" s="19" t="s">
        <v>269</v>
      </c>
      <c r="F348" s="8" t="s">
        <v>36</v>
      </c>
      <c r="G348" s="7" t="s">
        <v>59</v>
      </c>
      <c r="H348" s="9" t="s">
        <v>44</v>
      </c>
      <c r="I348" s="10"/>
      <c r="J348" s="10" t="s">
        <v>40</v>
      </c>
      <c r="K348" s="10" t="s">
        <v>40</v>
      </c>
      <c r="L348" s="10" t="s">
        <v>40</v>
      </c>
      <c r="M348">
        <v>0</v>
      </c>
      <c r="N348">
        <v>0</v>
      </c>
      <c r="O348">
        <v>0</v>
      </c>
      <c r="P348" s="10" t="s">
        <v>44</v>
      </c>
      <c r="Q348" s="10">
        <f t="array" ref="Q348">IFERROR(SUMPRODUCT((N348:P348&gt;0)*(N348:P348))/3, 0)</f>
        <v>0</v>
      </c>
      <c r="R348" s="10"/>
      <c r="S348" s="11" t="str">
        <f t="shared" si="52"/>
        <v/>
      </c>
      <c r="T348" s="7"/>
      <c r="U348" s="7"/>
      <c r="V348" s="7"/>
      <c r="W348" s="7"/>
      <c r="X348" s="7"/>
      <c r="Y348" s="7"/>
      <c r="Z348" s="15"/>
      <c r="AA348" s="15"/>
      <c r="AB348" s="11" t="str">
        <f t="shared" si="53"/>
        <v/>
      </c>
      <c r="AC348" s="11"/>
      <c r="AD348" s="11"/>
      <c r="AE348" s="11"/>
      <c r="AF348" s="11"/>
      <c r="AG348" s="11"/>
      <c r="AH348" s="11"/>
      <c r="AI348" s="11"/>
      <c r="AJ348" s="15"/>
      <c r="AK348" s="15"/>
      <c r="AL348" s="14">
        <f t="shared" si="54"/>
        <v>3</v>
      </c>
      <c r="AM348" s="11">
        <f t="shared" si="55"/>
        <v>3</v>
      </c>
      <c r="AN348" s="14">
        <f t="shared" si="56"/>
        <v>3</v>
      </c>
      <c r="AO348" s="15"/>
      <c r="AP348" s="15"/>
      <c r="AQ348" s="15"/>
    </row>
    <row r="349" spans="1:43" ht="51" hidden="1" x14ac:dyDescent="0.2">
      <c r="A349" s="7">
        <v>348</v>
      </c>
      <c r="B349" s="19" t="s">
        <v>755</v>
      </c>
      <c r="C349" s="19" t="s">
        <v>756</v>
      </c>
      <c r="D349" s="8" t="s">
        <v>34</v>
      </c>
      <c r="E349" s="19" t="s">
        <v>269</v>
      </c>
      <c r="F349" s="8" t="s">
        <v>36</v>
      </c>
      <c r="G349" s="7" t="s">
        <v>59</v>
      </c>
      <c r="H349" s="9" t="s">
        <v>44</v>
      </c>
      <c r="I349" s="10"/>
      <c r="J349" s="10" t="s">
        <v>40</v>
      </c>
      <c r="K349" s="10" t="s">
        <v>40</v>
      </c>
      <c r="L349" s="10" t="s">
        <v>40</v>
      </c>
      <c r="M349">
        <v>0</v>
      </c>
      <c r="N349">
        <v>0</v>
      </c>
      <c r="O349">
        <v>0</v>
      </c>
      <c r="P349" s="10" t="s">
        <v>44</v>
      </c>
      <c r="Q349" s="10">
        <f t="array" ref="Q349">IFERROR(SUMPRODUCT((N349:P349&gt;0)*(N349:P349))/3, 0)</f>
        <v>0</v>
      </c>
      <c r="R349" s="10"/>
      <c r="S349" s="11" t="str">
        <f t="shared" si="52"/>
        <v/>
      </c>
      <c r="T349" s="7"/>
      <c r="U349" s="7"/>
      <c r="V349" s="7"/>
      <c r="W349" s="7"/>
      <c r="X349" s="7"/>
      <c r="Y349" s="7"/>
      <c r="Z349" s="15"/>
      <c r="AA349" s="15"/>
      <c r="AB349" s="11" t="str">
        <f t="shared" si="53"/>
        <v/>
      </c>
      <c r="AC349" s="11"/>
      <c r="AD349" s="11"/>
      <c r="AE349" s="11"/>
      <c r="AF349" s="11"/>
      <c r="AG349" s="11"/>
      <c r="AH349" s="11"/>
      <c r="AI349" s="11"/>
      <c r="AJ349" s="15"/>
      <c r="AK349" s="15"/>
      <c r="AL349" s="14">
        <f t="shared" si="54"/>
        <v>3</v>
      </c>
      <c r="AM349" s="11">
        <f t="shared" si="55"/>
        <v>3</v>
      </c>
      <c r="AN349" s="14">
        <f t="shared" si="56"/>
        <v>3</v>
      </c>
      <c r="AO349" s="15"/>
      <c r="AP349" s="15"/>
      <c r="AQ349" s="15"/>
    </row>
    <row r="350" spans="1:43" ht="51" hidden="1" x14ac:dyDescent="0.2">
      <c r="A350" s="7">
        <v>349</v>
      </c>
      <c r="B350" s="19" t="s">
        <v>757</v>
      </c>
      <c r="C350" s="19" t="s">
        <v>758</v>
      </c>
      <c r="D350" s="8" t="s">
        <v>34</v>
      </c>
      <c r="E350" s="19" t="s">
        <v>269</v>
      </c>
      <c r="F350" s="8" t="s">
        <v>36</v>
      </c>
      <c r="G350" s="7" t="s">
        <v>59</v>
      </c>
      <c r="H350" s="9" t="s">
        <v>44</v>
      </c>
      <c r="I350" s="10"/>
      <c r="J350" s="10" t="s">
        <v>40</v>
      </c>
      <c r="K350" s="10" t="s">
        <v>40</v>
      </c>
      <c r="L350" s="10" t="s">
        <v>40</v>
      </c>
      <c r="M350">
        <v>0</v>
      </c>
      <c r="N350">
        <v>0</v>
      </c>
      <c r="O350">
        <v>0</v>
      </c>
      <c r="P350" s="10" t="s">
        <v>44</v>
      </c>
      <c r="Q350" s="10">
        <f t="array" ref="Q350">IFERROR(SUMPRODUCT((N350:P350&gt;0)*(N350:P350))/3, 0)</f>
        <v>0</v>
      </c>
      <c r="R350" s="10"/>
      <c r="S350" s="11" t="str">
        <f t="shared" si="52"/>
        <v/>
      </c>
      <c r="T350" s="7"/>
      <c r="U350" s="7"/>
      <c r="V350" s="7"/>
      <c r="W350" s="7"/>
      <c r="X350" s="7"/>
      <c r="Y350" s="7"/>
      <c r="Z350" s="15"/>
      <c r="AA350" s="15"/>
      <c r="AB350" s="11" t="str">
        <f t="shared" si="53"/>
        <v/>
      </c>
      <c r="AC350" s="11"/>
      <c r="AD350" s="11"/>
      <c r="AE350" s="11"/>
      <c r="AF350" s="11"/>
      <c r="AG350" s="11"/>
      <c r="AH350" s="11"/>
      <c r="AI350" s="11"/>
      <c r="AJ350" s="15"/>
      <c r="AK350" s="15"/>
      <c r="AL350" s="14">
        <f t="shared" si="54"/>
        <v>3</v>
      </c>
      <c r="AM350" s="11">
        <f t="shared" si="55"/>
        <v>3</v>
      </c>
      <c r="AN350" s="14">
        <f t="shared" si="56"/>
        <v>3</v>
      </c>
      <c r="AO350" s="15"/>
      <c r="AP350" s="15"/>
      <c r="AQ350" s="15"/>
    </row>
    <row r="351" spans="1:43" ht="51" hidden="1" x14ac:dyDescent="0.2">
      <c r="A351" s="7">
        <v>350</v>
      </c>
      <c r="B351" s="19" t="s">
        <v>759</v>
      </c>
      <c r="C351" s="19" t="s">
        <v>760</v>
      </c>
      <c r="D351" s="8" t="s">
        <v>34</v>
      </c>
      <c r="E351" s="19" t="s">
        <v>269</v>
      </c>
      <c r="F351" s="8" t="s">
        <v>36</v>
      </c>
      <c r="G351" s="7" t="s">
        <v>59</v>
      </c>
      <c r="H351" s="9" t="s">
        <v>44</v>
      </c>
      <c r="I351" s="10"/>
      <c r="J351" s="10" t="s">
        <v>40</v>
      </c>
      <c r="K351" s="10" t="s">
        <v>40</v>
      </c>
      <c r="L351" s="10" t="s">
        <v>40</v>
      </c>
      <c r="M351">
        <v>0</v>
      </c>
      <c r="N351">
        <v>0</v>
      </c>
      <c r="O351">
        <v>0</v>
      </c>
      <c r="P351" s="10" t="s">
        <v>44</v>
      </c>
      <c r="Q351" s="10">
        <f t="array" ref="Q351">IFERROR(SUMPRODUCT((N351:P351&gt;0)*(N351:P351))/3, 0)</f>
        <v>0</v>
      </c>
      <c r="R351" s="10"/>
      <c r="S351" s="11" t="str">
        <f t="shared" si="52"/>
        <v/>
      </c>
      <c r="T351" s="7"/>
      <c r="U351" s="7"/>
      <c r="V351" s="7"/>
      <c r="W351" s="7"/>
      <c r="X351" s="7"/>
      <c r="Y351" s="7"/>
      <c r="Z351" s="15"/>
      <c r="AA351" s="15"/>
      <c r="AB351" s="11" t="str">
        <f t="shared" si="53"/>
        <v/>
      </c>
      <c r="AC351" s="11"/>
      <c r="AD351" s="11"/>
      <c r="AE351" s="11"/>
      <c r="AF351" s="11"/>
      <c r="AG351" s="11"/>
      <c r="AH351" s="11"/>
      <c r="AI351" s="11"/>
      <c r="AJ351" s="15"/>
      <c r="AK351" s="15"/>
      <c r="AL351" s="14">
        <f t="shared" si="54"/>
        <v>3</v>
      </c>
      <c r="AM351" s="11">
        <f t="shared" si="55"/>
        <v>3</v>
      </c>
      <c r="AN351" s="14">
        <f t="shared" si="56"/>
        <v>3</v>
      </c>
      <c r="AO351" s="15"/>
      <c r="AP351" s="15"/>
      <c r="AQ351" s="15"/>
    </row>
    <row r="352" spans="1:43" ht="51" hidden="1" x14ac:dyDescent="0.2">
      <c r="A352" s="7">
        <v>351</v>
      </c>
      <c r="B352" s="19" t="s">
        <v>761</v>
      </c>
      <c r="C352" s="19" t="s">
        <v>762</v>
      </c>
      <c r="D352" s="8" t="s">
        <v>34</v>
      </c>
      <c r="E352" s="19" t="s">
        <v>269</v>
      </c>
      <c r="F352" s="8" t="s">
        <v>36</v>
      </c>
      <c r="G352" s="7" t="s">
        <v>59</v>
      </c>
      <c r="H352" s="9" t="s">
        <v>44</v>
      </c>
      <c r="I352" s="10"/>
      <c r="J352" s="10" t="s">
        <v>40</v>
      </c>
      <c r="K352" s="10" t="s">
        <v>40</v>
      </c>
      <c r="L352" s="10" t="s">
        <v>40</v>
      </c>
      <c r="M352">
        <v>0</v>
      </c>
      <c r="N352">
        <v>0</v>
      </c>
      <c r="O352">
        <v>0</v>
      </c>
      <c r="P352" s="10" t="s">
        <v>44</v>
      </c>
      <c r="Q352" s="10">
        <f t="array" ref="Q352">IFERROR(SUMPRODUCT((N352:P352&gt;0)*(N352:P352))/3, 0)</f>
        <v>0</v>
      </c>
      <c r="R352" s="10"/>
      <c r="S352" s="11" t="str">
        <f t="shared" si="52"/>
        <v/>
      </c>
      <c r="T352" s="7"/>
      <c r="U352" s="7"/>
      <c r="V352" s="7"/>
      <c r="W352" s="7"/>
      <c r="X352" s="7"/>
      <c r="Y352" s="7"/>
      <c r="Z352" s="15"/>
      <c r="AA352" s="15"/>
      <c r="AB352" s="11" t="str">
        <f t="shared" si="53"/>
        <v/>
      </c>
      <c r="AC352" s="11"/>
      <c r="AD352" s="11"/>
      <c r="AE352" s="11"/>
      <c r="AF352" s="11"/>
      <c r="AG352" s="11"/>
      <c r="AH352" s="11"/>
      <c r="AI352" s="11"/>
      <c r="AJ352" s="15"/>
      <c r="AK352" s="15"/>
      <c r="AL352" s="14">
        <f t="shared" si="54"/>
        <v>3</v>
      </c>
      <c r="AM352" s="11">
        <f t="shared" si="55"/>
        <v>3</v>
      </c>
      <c r="AN352" s="14">
        <f t="shared" si="56"/>
        <v>3</v>
      </c>
      <c r="AO352" s="15"/>
      <c r="AP352" s="15"/>
      <c r="AQ352" s="15"/>
    </row>
    <row r="353" spans="1:43" ht="51" hidden="1" x14ac:dyDescent="0.2">
      <c r="A353" s="7">
        <v>352</v>
      </c>
      <c r="B353" s="19" t="s">
        <v>763</v>
      </c>
      <c r="C353" s="19" t="s">
        <v>764</v>
      </c>
      <c r="D353" s="8" t="s">
        <v>34</v>
      </c>
      <c r="E353" s="19" t="s">
        <v>269</v>
      </c>
      <c r="F353" s="8" t="s">
        <v>36</v>
      </c>
      <c r="G353" s="7" t="s">
        <v>59</v>
      </c>
      <c r="H353" s="9" t="s">
        <v>44</v>
      </c>
      <c r="I353" s="10"/>
      <c r="J353" s="10" t="s">
        <v>40</v>
      </c>
      <c r="K353" s="10" t="s">
        <v>40</v>
      </c>
      <c r="L353" s="10" t="s">
        <v>40</v>
      </c>
      <c r="M353">
        <v>0</v>
      </c>
      <c r="N353">
        <v>0</v>
      </c>
      <c r="O353">
        <v>0</v>
      </c>
      <c r="P353" s="10" t="s">
        <v>44</v>
      </c>
      <c r="Q353" s="10">
        <f t="array" ref="Q353">IFERROR(SUMPRODUCT((N353:P353&gt;0)*(N353:P353))/3, 0)</f>
        <v>0</v>
      </c>
      <c r="R353" s="10"/>
      <c r="S353" s="11" t="str">
        <f t="shared" si="52"/>
        <v/>
      </c>
      <c r="T353" s="7"/>
      <c r="U353" s="7"/>
      <c r="V353" s="7"/>
      <c r="W353" s="7"/>
      <c r="X353" s="7"/>
      <c r="Y353" s="7"/>
      <c r="Z353" s="15"/>
      <c r="AA353" s="15"/>
      <c r="AB353" s="11" t="str">
        <f t="shared" si="53"/>
        <v/>
      </c>
      <c r="AC353" s="11"/>
      <c r="AD353" s="11"/>
      <c r="AE353" s="11"/>
      <c r="AF353" s="11"/>
      <c r="AG353" s="11"/>
      <c r="AH353" s="11"/>
      <c r="AI353" s="11"/>
      <c r="AJ353" s="15"/>
      <c r="AK353" s="15"/>
      <c r="AL353" s="14">
        <f t="shared" si="54"/>
        <v>3</v>
      </c>
      <c r="AM353" s="11">
        <f t="shared" si="55"/>
        <v>3</v>
      </c>
      <c r="AN353" s="14">
        <f t="shared" si="56"/>
        <v>3</v>
      </c>
      <c r="AO353" s="15"/>
      <c r="AP353" s="15"/>
      <c r="AQ353" s="15"/>
    </row>
    <row r="354" spans="1:43" ht="51" hidden="1" x14ac:dyDescent="0.2">
      <c r="A354" s="7">
        <v>353</v>
      </c>
      <c r="B354" s="19" t="s">
        <v>765</v>
      </c>
      <c r="C354" s="19" t="s">
        <v>766</v>
      </c>
      <c r="D354" s="8" t="s">
        <v>34</v>
      </c>
      <c r="E354" s="19" t="s">
        <v>269</v>
      </c>
      <c r="F354" s="8" t="s">
        <v>36</v>
      </c>
      <c r="G354" s="7" t="s">
        <v>59</v>
      </c>
      <c r="H354" s="9" t="s">
        <v>44</v>
      </c>
      <c r="I354" s="10"/>
      <c r="J354" s="10" t="s">
        <v>40</v>
      </c>
      <c r="K354" s="10" t="s">
        <v>40</v>
      </c>
      <c r="L354" s="10" t="s">
        <v>40</v>
      </c>
      <c r="M354">
        <v>0</v>
      </c>
      <c r="N354">
        <v>0</v>
      </c>
      <c r="O354">
        <v>0</v>
      </c>
      <c r="P354" s="10" t="s">
        <v>44</v>
      </c>
      <c r="Q354" s="10">
        <f t="array" ref="Q354">IFERROR(SUMPRODUCT((N354:P354&gt;0)*(N354:P354))/3, 0)</f>
        <v>0</v>
      </c>
      <c r="R354" s="10"/>
      <c r="S354" s="11" t="str">
        <f t="shared" si="52"/>
        <v/>
      </c>
      <c r="T354" s="7"/>
      <c r="U354" s="7"/>
      <c r="V354" s="7"/>
      <c r="W354" s="7"/>
      <c r="X354" s="7"/>
      <c r="Y354" s="7"/>
      <c r="Z354" s="15"/>
      <c r="AA354" s="15"/>
      <c r="AB354" s="11" t="str">
        <f t="shared" si="53"/>
        <v/>
      </c>
      <c r="AC354" s="11"/>
      <c r="AD354" s="11"/>
      <c r="AE354" s="11"/>
      <c r="AF354" s="11"/>
      <c r="AG354" s="11"/>
      <c r="AH354" s="11"/>
      <c r="AI354" s="11"/>
      <c r="AJ354" s="15"/>
      <c r="AK354" s="15"/>
      <c r="AL354" s="14">
        <f t="shared" si="54"/>
        <v>3</v>
      </c>
      <c r="AM354" s="11">
        <f t="shared" si="55"/>
        <v>3</v>
      </c>
      <c r="AN354" s="14">
        <f t="shared" si="56"/>
        <v>3</v>
      </c>
      <c r="AO354" s="15"/>
      <c r="AP354" s="15"/>
      <c r="AQ354" s="15"/>
    </row>
    <row r="355" spans="1:43" ht="68" hidden="1" x14ac:dyDescent="0.2">
      <c r="A355" s="7">
        <v>354</v>
      </c>
      <c r="B355" s="19" t="s">
        <v>767</v>
      </c>
      <c r="C355" s="19" t="s">
        <v>768</v>
      </c>
      <c r="D355" s="8" t="s">
        <v>34</v>
      </c>
      <c r="E355" s="19" t="s">
        <v>269</v>
      </c>
      <c r="F355" s="8" t="s">
        <v>36</v>
      </c>
      <c r="G355" s="7" t="s">
        <v>59</v>
      </c>
      <c r="H355" s="9" t="s">
        <v>44</v>
      </c>
      <c r="I355" s="10"/>
      <c r="J355" s="10" t="s">
        <v>40</v>
      </c>
      <c r="K355" s="10" t="s">
        <v>40</v>
      </c>
      <c r="L355" s="10" t="s">
        <v>40</v>
      </c>
      <c r="M355">
        <v>0</v>
      </c>
      <c r="N355">
        <v>0</v>
      </c>
      <c r="O355">
        <v>0</v>
      </c>
      <c r="P355" s="10" t="s">
        <v>44</v>
      </c>
      <c r="Q355" s="10">
        <f t="array" ref="Q355">IFERROR(SUMPRODUCT((N355:P355&gt;0)*(N355:P355))/3, 0)</f>
        <v>0</v>
      </c>
      <c r="R355" s="10"/>
      <c r="S355" s="11" t="str">
        <f t="shared" si="52"/>
        <v/>
      </c>
      <c r="T355" s="7"/>
      <c r="U355" s="7"/>
      <c r="V355" s="7"/>
      <c r="W355" s="7"/>
      <c r="X355" s="7"/>
      <c r="Y355" s="7"/>
      <c r="Z355" s="15"/>
      <c r="AA355" s="15"/>
      <c r="AB355" s="11" t="str">
        <f t="shared" si="53"/>
        <v/>
      </c>
      <c r="AC355" s="11"/>
      <c r="AD355" s="11"/>
      <c r="AE355" s="11"/>
      <c r="AF355" s="11"/>
      <c r="AG355" s="11"/>
      <c r="AH355" s="11"/>
      <c r="AI355" s="11"/>
      <c r="AJ355" s="15"/>
      <c r="AK355" s="15"/>
      <c r="AL355" s="14">
        <f t="shared" si="54"/>
        <v>3</v>
      </c>
      <c r="AM355" s="11">
        <f t="shared" si="55"/>
        <v>3</v>
      </c>
      <c r="AN355" s="14">
        <f t="shared" si="56"/>
        <v>3</v>
      </c>
      <c r="AO355" s="15"/>
      <c r="AP355" s="15"/>
      <c r="AQ355" s="15"/>
    </row>
    <row r="356" spans="1:43" ht="51" hidden="1" x14ac:dyDescent="0.2">
      <c r="A356" s="7">
        <v>355</v>
      </c>
      <c r="B356" s="19" t="s">
        <v>769</v>
      </c>
      <c r="C356" s="19" t="s">
        <v>770</v>
      </c>
      <c r="D356" s="8" t="s">
        <v>34</v>
      </c>
      <c r="E356" s="19" t="s">
        <v>269</v>
      </c>
      <c r="F356" s="8" t="s">
        <v>36</v>
      </c>
      <c r="G356" s="7" t="s">
        <v>59</v>
      </c>
      <c r="H356" s="9" t="s">
        <v>44</v>
      </c>
      <c r="I356" s="10"/>
      <c r="J356" s="10" t="s">
        <v>40</v>
      </c>
      <c r="K356" s="10" t="s">
        <v>40</v>
      </c>
      <c r="L356" s="10" t="s">
        <v>40</v>
      </c>
      <c r="M356">
        <v>0</v>
      </c>
      <c r="N356">
        <v>0</v>
      </c>
      <c r="O356">
        <v>0</v>
      </c>
      <c r="P356" s="10" t="s">
        <v>44</v>
      </c>
      <c r="Q356" s="10">
        <f t="array" ref="Q356">IFERROR(SUMPRODUCT((N356:P356&gt;0)*(N356:P356))/3, 0)</f>
        <v>0</v>
      </c>
      <c r="R356" s="10"/>
      <c r="S356" s="11" t="str">
        <f t="shared" si="52"/>
        <v/>
      </c>
      <c r="T356" s="7"/>
      <c r="U356" s="7"/>
      <c r="V356" s="7"/>
      <c r="W356" s="7"/>
      <c r="X356" s="7"/>
      <c r="Y356" s="7"/>
      <c r="Z356" s="15"/>
      <c r="AA356" s="15"/>
      <c r="AB356" s="11" t="str">
        <f t="shared" si="53"/>
        <v/>
      </c>
      <c r="AC356" s="11"/>
      <c r="AD356" s="11"/>
      <c r="AE356" s="11"/>
      <c r="AF356" s="11"/>
      <c r="AG356" s="11"/>
      <c r="AH356" s="11"/>
      <c r="AI356" s="11"/>
      <c r="AJ356" s="15"/>
      <c r="AK356" s="15"/>
      <c r="AL356" s="14">
        <f t="shared" si="54"/>
        <v>3</v>
      </c>
      <c r="AM356" s="11">
        <f t="shared" si="55"/>
        <v>3</v>
      </c>
      <c r="AN356" s="14">
        <f t="shared" si="56"/>
        <v>3</v>
      </c>
      <c r="AO356" s="15"/>
      <c r="AP356" s="15"/>
      <c r="AQ356" s="15"/>
    </row>
    <row r="357" spans="1:43" ht="51" hidden="1" x14ac:dyDescent="0.2">
      <c r="A357" s="7">
        <v>356</v>
      </c>
      <c r="B357" s="19" t="s">
        <v>771</v>
      </c>
      <c r="C357" s="19" t="s">
        <v>772</v>
      </c>
      <c r="D357" s="8" t="s">
        <v>34</v>
      </c>
      <c r="E357" s="19" t="s">
        <v>269</v>
      </c>
      <c r="F357" s="8" t="s">
        <v>36</v>
      </c>
      <c r="G357" s="7" t="s">
        <v>59</v>
      </c>
      <c r="H357" s="9" t="s">
        <v>44</v>
      </c>
      <c r="I357" s="10"/>
      <c r="J357" s="10" t="s">
        <v>40</v>
      </c>
      <c r="K357" s="10" t="s">
        <v>40</v>
      </c>
      <c r="L357" s="10" t="s">
        <v>40</v>
      </c>
      <c r="M357">
        <v>0</v>
      </c>
      <c r="N357">
        <v>0</v>
      </c>
      <c r="O357">
        <v>0</v>
      </c>
      <c r="P357" s="10" t="s">
        <v>44</v>
      </c>
      <c r="Q357" s="10">
        <f t="array" ref="Q357">IFERROR(SUMPRODUCT((N357:P357&gt;0)*(N357:P357))/3, 0)</f>
        <v>0</v>
      </c>
      <c r="R357" s="10"/>
      <c r="S357" s="11" t="str">
        <f t="shared" si="52"/>
        <v/>
      </c>
      <c r="T357" s="7"/>
      <c r="U357" s="7"/>
      <c r="V357" s="7"/>
      <c r="W357" s="7"/>
      <c r="X357" s="7"/>
      <c r="Y357" s="7"/>
      <c r="Z357" s="15"/>
      <c r="AA357" s="15"/>
      <c r="AB357" s="11" t="str">
        <f t="shared" si="53"/>
        <v/>
      </c>
      <c r="AC357" s="11"/>
      <c r="AD357" s="11"/>
      <c r="AE357" s="11"/>
      <c r="AF357" s="11"/>
      <c r="AG357" s="11"/>
      <c r="AH357" s="11"/>
      <c r="AI357" s="11"/>
      <c r="AJ357" s="15"/>
      <c r="AK357" s="15"/>
      <c r="AL357" s="14">
        <f t="shared" si="54"/>
        <v>3</v>
      </c>
      <c r="AM357" s="11">
        <f t="shared" si="55"/>
        <v>3</v>
      </c>
      <c r="AN357" s="14">
        <f t="shared" si="56"/>
        <v>3</v>
      </c>
      <c r="AO357" s="15"/>
      <c r="AP357" s="15"/>
      <c r="AQ357" s="15"/>
    </row>
    <row r="358" spans="1:43" ht="51" hidden="1" x14ac:dyDescent="0.2">
      <c r="A358" s="7">
        <v>357</v>
      </c>
      <c r="B358" s="19" t="s">
        <v>773</v>
      </c>
      <c r="C358" s="19" t="s">
        <v>774</v>
      </c>
      <c r="D358" s="8" t="s">
        <v>34</v>
      </c>
      <c r="E358" s="19" t="s">
        <v>269</v>
      </c>
      <c r="F358" s="8" t="s">
        <v>36</v>
      </c>
      <c r="G358" s="7" t="s">
        <v>59</v>
      </c>
      <c r="H358" s="9" t="s">
        <v>44</v>
      </c>
      <c r="I358" s="10"/>
      <c r="J358" s="10" t="s">
        <v>40</v>
      </c>
      <c r="K358" s="10" t="s">
        <v>40</v>
      </c>
      <c r="L358" s="10" t="s">
        <v>40</v>
      </c>
      <c r="M358">
        <v>0</v>
      </c>
      <c r="N358">
        <v>0</v>
      </c>
      <c r="O358">
        <v>0</v>
      </c>
      <c r="P358" s="10" t="s">
        <v>44</v>
      </c>
      <c r="Q358" s="10">
        <f t="array" ref="Q358">IFERROR(SUMPRODUCT((N358:P358&gt;0)*(N358:P358))/3, 0)</f>
        <v>0</v>
      </c>
      <c r="R358" s="10"/>
      <c r="S358" s="11" t="str">
        <f t="shared" si="52"/>
        <v/>
      </c>
      <c r="T358" s="7"/>
      <c r="U358" s="7"/>
      <c r="V358" s="7"/>
      <c r="W358" s="7"/>
      <c r="X358" s="7"/>
      <c r="Y358" s="7"/>
      <c r="Z358" s="15"/>
      <c r="AA358" s="15"/>
      <c r="AB358" s="11" t="str">
        <f t="shared" si="53"/>
        <v/>
      </c>
      <c r="AC358" s="11"/>
      <c r="AD358" s="11"/>
      <c r="AE358" s="11"/>
      <c r="AF358" s="11"/>
      <c r="AG358" s="11"/>
      <c r="AH358" s="11"/>
      <c r="AI358" s="11"/>
      <c r="AJ358" s="15"/>
      <c r="AK358" s="15"/>
      <c r="AL358" s="14">
        <f t="shared" si="54"/>
        <v>3</v>
      </c>
      <c r="AM358" s="11">
        <f t="shared" si="55"/>
        <v>3</v>
      </c>
      <c r="AN358" s="14">
        <f t="shared" si="56"/>
        <v>3</v>
      </c>
      <c r="AO358" s="15"/>
      <c r="AP358" s="15"/>
      <c r="AQ358" s="15"/>
    </row>
    <row r="359" spans="1:43" ht="51" hidden="1" x14ac:dyDescent="0.2">
      <c r="A359" s="7">
        <v>358</v>
      </c>
      <c r="B359" s="19" t="s">
        <v>775</v>
      </c>
      <c r="C359" s="19" t="s">
        <v>776</v>
      </c>
      <c r="D359" s="8" t="s">
        <v>34</v>
      </c>
      <c r="E359" s="19" t="s">
        <v>269</v>
      </c>
      <c r="F359" s="8" t="s">
        <v>36</v>
      </c>
      <c r="G359" s="7" t="s">
        <v>59</v>
      </c>
      <c r="H359" s="9" t="s">
        <v>44</v>
      </c>
      <c r="I359" s="10"/>
      <c r="J359" s="10" t="s">
        <v>40</v>
      </c>
      <c r="K359" s="10" t="s">
        <v>40</v>
      </c>
      <c r="L359" s="10" t="s">
        <v>40</v>
      </c>
      <c r="M359">
        <v>0</v>
      </c>
      <c r="N359">
        <v>0</v>
      </c>
      <c r="O359">
        <v>0</v>
      </c>
      <c r="P359" s="10" t="s">
        <v>44</v>
      </c>
      <c r="Q359" s="10">
        <f t="array" ref="Q359">IFERROR(SUMPRODUCT((N359:P359&gt;0)*(N359:P359))/3, 0)</f>
        <v>0</v>
      </c>
      <c r="R359" s="10"/>
      <c r="S359" s="11" t="str">
        <f t="shared" si="52"/>
        <v/>
      </c>
      <c r="T359" s="7"/>
      <c r="U359" s="7"/>
      <c r="V359" s="7"/>
      <c r="W359" s="7"/>
      <c r="X359" s="7"/>
      <c r="Y359" s="7"/>
      <c r="Z359" s="15"/>
      <c r="AA359" s="15"/>
      <c r="AB359" s="11" t="str">
        <f t="shared" si="53"/>
        <v/>
      </c>
      <c r="AC359" s="11"/>
      <c r="AD359" s="11"/>
      <c r="AE359" s="11"/>
      <c r="AF359" s="11"/>
      <c r="AG359" s="11"/>
      <c r="AH359" s="11"/>
      <c r="AI359" s="11"/>
      <c r="AJ359" s="15"/>
      <c r="AK359" s="15"/>
      <c r="AL359" s="14">
        <f t="shared" si="54"/>
        <v>3</v>
      </c>
      <c r="AM359" s="11">
        <f t="shared" si="55"/>
        <v>3</v>
      </c>
      <c r="AN359" s="14">
        <f t="shared" si="56"/>
        <v>3</v>
      </c>
      <c r="AO359" s="15"/>
      <c r="AP359" s="15"/>
      <c r="AQ359" s="15"/>
    </row>
    <row r="360" spans="1:43" ht="51" hidden="1" x14ac:dyDescent="0.2">
      <c r="A360" s="7">
        <v>359</v>
      </c>
      <c r="B360" s="19" t="s">
        <v>777</v>
      </c>
      <c r="C360" s="19" t="s">
        <v>778</v>
      </c>
      <c r="D360" s="8" t="s">
        <v>34</v>
      </c>
      <c r="E360" s="19" t="s">
        <v>269</v>
      </c>
      <c r="F360" s="8" t="s">
        <v>36</v>
      </c>
      <c r="G360" s="7" t="s">
        <v>59</v>
      </c>
      <c r="H360" s="9" t="s">
        <v>44</v>
      </c>
      <c r="I360" s="10"/>
      <c r="J360" s="10" t="s">
        <v>40</v>
      </c>
      <c r="K360" s="10" t="s">
        <v>40</v>
      </c>
      <c r="L360" s="10" t="s">
        <v>40</v>
      </c>
      <c r="M360">
        <v>0</v>
      </c>
      <c r="N360">
        <v>0</v>
      </c>
      <c r="O360">
        <v>0</v>
      </c>
      <c r="P360" s="10" t="s">
        <v>44</v>
      </c>
      <c r="Q360" s="10">
        <f t="array" ref="Q360">IFERROR(SUMPRODUCT((N360:P360&gt;0)*(N360:P360))/3, 0)</f>
        <v>0</v>
      </c>
      <c r="R360" s="10"/>
      <c r="S360" s="11" t="str">
        <f t="shared" si="52"/>
        <v/>
      </c>
      <c r="T360" s="7"/>
      <c r="U360" s="7"/>
      <c r="V360" s="7"/>
      <c r="W360" s="7"/>
      <c r="X360" s="7"/>
      <c r="Y360" s="7"/>
      <c r="Z360" s="15"/>
      <c r="AA360" s="15"/>
      <c r="AB360" s="11" t="str">
        <f t="shared" si="53"/>
        <v/>
      </c>
      <c r="AC360" s="11"/>
      <c r="AD360" s="11"/>
      <c r="AE360" s="11"/>
      <c r="AF360" s="11"/>
      <c r="AG360" s="11"/>
      <c r="AH360" s="11"/>
      <c r="AI360" s="11"/>
      <c r="AJ360" s="15"/>
      <c r="AK360" s="15"/>
      <c r="AL360" s="14">
        <f t="shared" si="54"/>
        <v>3</v>
      </c>
      <c r="AM360" s="11">
        <f t="shared" si="55"/>
        <v>3</v>
      </c>
      <c r="AN360" s="14">
        <f t="shared" si="56"/>
        <v>3</v>
      </c>
      <c r="AO360" s="15"/>
      <c r="AP360" s="15"/>
      <c r="AQ360" s="15"/>
    </row>
    <row r="361" spans="1:43" ht="51" hidden="1" x14ac:dyDescent="0.2">
      <c r="A361" s="7">
        <v>360</v>
      </c>
      <c r="B361" s="19" t="s">
        <v>779</v>
      </c>
      <c r="C361" s="19" t="s">
        <v>780</v>
      </c>
      <c r="D361" s="8" t="s">
        <v>34</v>
      </c>
      <c r="E361" s="19" t="s">
        <v>269</v>
      </c>
      <c r="F361" s="8" t="s">
        <v>36</v>
      </c>
      <c r="G361" s="7" t="s">
        <v>59</v>
      </c>
      <c r="H361" s="9" t="s">
        <v>44</v>
      </c>
      <c r="I361" s="10"/>
      <c r="J361" s="10" t="s">
        <v>40</v>
      </c>
      <c r="K361" s="10" t="s">
        <v>40</v>
      </c>
      <c r="L361" s="10" t="s">
        <v>40</v>
      </c>
      <c r="M361">
        <v>0</v>
      </c>
      <c r="N361">
        <v>0</v>
      </c>
      <c r="O361">
        <v>0</v>
      </c>
      <c r="P361" s="10" t="s">
        <v>44</v>
      </c>
      <c r="Q361" s="10">
        <f t="array" ref="Q361">IFERROR(SUMPRODUCT((N361:P361&gt;0)*(N361:P361))/3, 0)</f>
        <v>0</v>
      </c>
      <c r="R361" s="10"/>
      <c r="S361" s="11" t="str">
        <f t="shared" si="52"/>
        <v/>
      </c>
      <c r="T361" s="7"/>
      <c r="U361" s="7"/>
      <c r="V361" s="7"/>
      <c r="W361" s="7"/>
      <c r="X361" s="7"/>
      <c r="Y361" s="7"/>
      <c r="Z361" s="15"/>
      <c r="AA361" s="15"/>
      <c r="AB361" s="11" t="str">
        <f t="shared" si="53"/>
        <v/>
      </c>
      <c r="AC361" s="11"/>
      <c r="AD361" s="11"/>
      <c r="AE361" s="11"/>
      <c r="AF361" s="11"/>
      <c r="AG361" s="11"/>
      <c r="AH361" s="11"/>
      <c r="AI361" s="11"/>
      <c r="AJ361" s="15"/>
      <c r="AK361" s="15"/>
      <c r="AL361" s="14">
        <f t="shared" si="54"/>
        <v>3</v>
      </c>
      <c r="AM361" s="11">
        <f t="shared" si="55"/>
        <v>3</v>
      </c>
      <c r="AN361" s="14">
        <f t="shared" si="56"/>
        <v>3</v>
      </c>
      <c r="AO361" s="15"/>
      <c r="AP361" s="15"/>
      <c r="AQ361" s="15"/>
    </row>
    <row r="362" spans="1:43" ht="51" hidden="1" x14ac:dyDescent="0.2">
      <c r="A362" s="7">
        <v>361</v>
      </c>
      <c r="B362" s="19" t="s">
        <v>781</v>
      </c>
      <c r="C362" s="19" t="s">
        <v>782</v>
      </c>
      <c r="D362" s="8" t="s">
        <v>34</v>
      </c>
      <c r="E362" s="19" t="s">
        <v>269</v>
      </c>
      <c r="F362" s="8" t="s">
        <v>36</v>
      </c>
      <c r="G362" s="7" t="s">
        <v>59</v>
      </c>
      <c r="H362" s="9" t="s">
        <v>44</v>
      </c>
      <c r="I362" s="10"/>
      <c r="J362" s="10" t="s">
        <v>40</v>
      </c>
      <c r="K362" s="10" t="s">
        <v>40</v>
      </c>
      <c r="L362" s="10" t="s">
        <v>40</v>
      </c>
      <c r="M362">
        <v>0</v>
      </c>
      <c r="N362">
        <v>0</v>
      </c>
      <c r="O362">
        <v>0</v>
      </c>
      <c r="P362" s="10" t="s">
        <v>44</v>
      </c>
      <c r="Q362" s="10">
        <f t="array" ref="Q362">IFERROR(SUMPRODUCT((N362:P362&gt;0)*(N362:P362))/3, 0)</f>
        <v>0</v>
      </c>
      <c r="R362" s="10"/>
      <c r="S362" s="11" t="str">
        <f t="shared" si="52"/>
        <v/>
      </c>
      <c r="T362" s="7"/>
      <c r="U362" s="7"/>
      <c r="V362" s="7"/>
      <c r="W362" s="7"/>
      <c r="X362" s="7"/>
      <c r="Y362" s="7"/>
      <c r="Z362" s="15"/>
      <c r="AA362" s="15"/>
      <c r="AB362" s="11" t="str">
        <f t="shared" si="53"/>
        <v/>
      </c>
      <c r="AC362" s="11"/>
      <c r="AD362" s="11"/>
      <c r="AE362" s="11"/>
      <c r="AF362" s="11"/>
      <c r="AG362" s="11"/>
      <c r="AH362" s="11"/>
      <c r="AI362" s="11"/>
      <c r="AJ362" s="15"/>
      <c r="AK362" s="15"/>
      <c r="AL362" s="14">
        <f t="shared" si="54"/>
        <v>3</v>
      </c>
      <c r="AM362" s="11">
        <f t="shared" si="55"/>
        <v>3</v>
      </c>
      <c r="AN362" s="14">
        <f t="shared" si="56"/>
        <v>3</v>
      </c>
      <c r="AO362" s="15"/>
      <c r="AP362" s="15"/>
      <c r="AQ362" s="15"/>
    </row>
    <row r="363" spans="1:43" ht="51" hidden="1" x14ac:dyDescent="0.2">
      <c r="A363" s="7">
        <v>362</v>
      </c>
      <c r="B363" s="19" t="s">
        <v>783</v>
      </c>
      <c r="C363" s="19" t="s">
        <v>784</v>
      </c>
      <c r="D363" s="8" t="s">
        <v>34</v>
      </c>
      <c r="E363" s="19" t="s">
        <v>269</v>
      </c>
      <c r="F363" s="8" t="s">
        <v>36</v>
      </c>
      <c r="G363" s="7" t="s">
        <v>59</v>
      </c>
      <c r="H363" s="9" t="s">
        <v>44</v>
      </c>
      <c r="I363" s="10"/>
      <c r="J363" s="10" t="s">
        <v>40</v>
      </c>
      <c r="K363" s="10" t="s">
        <v>40</v>
      </c>
      <c r="L363" s="10" t="s">
        <v>40</v>
      </c>
      <c r="M363">
        <v>0</v>
      </c>
      <c r="N363">
        <v>0</v>
      </c>
      <c r="O363">
        <v>0</v>
      </c>
      <c r="P363" s="10" t="s">
        <v>44</v>
      </c>
      <c r="Q363" s="10">
        <f t="array" ref="Q363">IFERROR(SUMPRODUCT((N363:P363&gt;0)*(N363:P363))/3, 0)</f>
        <v>0</v>
      </c>
      <c r="R363" s="10"/>
      <c r="S363" s="11" t="str">
        <f t="shared" si="52"/>
        <v/>
      </c>
      <c r="T363" s="7"/>
      <c r="U363" s="7"/>
      <c r="V363" s="7"/>
      <c r="W363" s="7"/>
      <c r="X363" s="7"/>
      <c r="Y363" s="7"/>
      <c r="Z363" s="15"/>
      <c r="AA363" s="15"/>
      <c r="AB363" s="11" t="str">
        <f t="shared" si="53"/>
        <v/>
      </c>
      <c r="AC363" s="11"/>
      <c r="AD363" s="11"/>
      <c r="AE363" s="11"/>
      <c r="AF363" s="11"/>
      <c r="AG363" s="11"/>
      <c r="AH363" s="11"/>
      <c r="AI363" s="11"/>
      <c r="AJ363" s="15"/>
      <c r="AK363" s="15"/>
      <c r="AL363" s="14">
        <f t="shared" si="54"/>
        <v>3</v>
      </c>
      <c r="AM363" s="11">
        <f t="shared" si="55"/>
        <v>3</v>
      </c>
      <c r="AN363" s="14">
        <f t="shared" si="56"/>
        <v>3</v>
      </c>
      <c r="AO363" s="15"/>
      <c r="AP363" s="15"/>
      <c r="AQ363" s="15"/>
    </row>
    <row r="364" spans="1:43" ht="51" hidden="1" x14ac:dyDescent="0.2">
      <c r="A364" s="7">
        <v>363</v>
      </c>
      <c r="B364" s="19" t="s">
        <v>785</v>
      </c>
      <c r="C364" s="19" t="s">
        <v>786</v>
      </c>
      <c r="D364" s="8" t="s">
        <v>34</v>
      </c>
      <c r="E364" s="19" t="s">
        <v>269</v>
      </c>
      <c r="F364" s="8" t="s">
        <v>36</v>
      </c>
      <c r="G364" s="7" t="s">
        <v>59</v>
      </c>
      <c r="H364" s="9" t="s">
        <v>44</v>
      </c>
      <c r="I364" s="10"/>
      <c r="J364" s="10" t="s">
        <v>40</v>
      </c>
      <c r="K364" s="10" t="s">
        <v>40</v>
      </c>
      <c r="L364" s="10" t="s">
        <v>40</v>
      </c>
      <c r="M364">
        <v>0</v>
      </c>
      <c r="N364">
        <v>0</v>
      </c>
      <c r="O364">
        <v>0</v>
      </c>
      <c r="P364" s="10" t="s">
        <v>44</v>
      </c>
      <c r="Q364" s="10">
        <f t="array" ref="Q364">IFERROR(SUMPRODUCT((N364:P364&gt;0)*(N364:P364))/3, 0)</f>
        <v>0</v>
      </c>
      <c r="R364" s="10"/>
      <c r="S364" s="11" t="str">
        <f t="shared" si="52"/>
        <v/>
      </c>
      <c r="T364" s="7"/>
      <c r="U364" s="7"/>
      <c r="V364" s="7"/>
      <c r="W364" s="7"/>
      <c r="X364" s="7"/>
      <c r="Y364" s="7"/>
      <c r="Z364" s="15"/>
      <c r="AA364" s="15"/>
      <c r="AB364" s="11" t="str">
        <f t="shared" si="53"/>
        <v/>
      </c>
      <c r="AC364" s="11"/>
      <c r="AD364" s="11"/>
      <c r="AE364" s="11"/>
      <c r="AF364" s="11"/>
      <c r="AG364" s="11"/>
      <c r="AH364" s="11"/>
      <c r="AI364" s="11"/>
      <c r="AJ364" s="15"/>
      <c r="AK364" s="15"/>
      <c r="AL364" s="14">
        <f t="shared" si="54"/>
        <v>3</v>
      </c>
      <c r="AM364" s="11">
        <f t="shared" si="55"/>
        <v>3</v>
      </c>
      <c r="AN364" s="14">
        <f t="shared" si="56"/>
        <v>3</v>
      </c>
      <c r="AO364" s="15"/>
      <c r="AP364" s="15"/>
      <c r="AQ364" s="15"/>
    </row>
    <row r="365" spans="1:43" ht="51" hidden="1" x14ac:dyDescent="0.2">
      <c r="A365" s="7">
        <v>364</v>
      </c>
      <c r="B365" s="19" t="s">
        <v>787</v>
      </c>
      <c r="C365" s="19" t="s">
        <v>788</v>
      </c>
      <c r="D365" s="8" t="s">
        <v>34</v>
      </c>
      <c r="E365" s="19" t="s">
        <v>269</v>
      </c>
      <c r="F365" s="8" t="s">
        <v>36</v>
      </c>
      <c r="G365" s="7" t="s">
        <v>59</v>
      </c>
      <c r="H365" s="9" t="s">
        <v>44</v>
      </c>
      <c r="I365" s="10"/>
      <c r="J365" s="10" t="s">
        <v>40</v>
      </c>
      <c r="K365" s="10" t="s">
        <v>40</v>
      </c>
      <c r="L365" s="10" t="s">
        <v>40</v>
      </c>
      <c r="M365">
        <v>0</v>
      </c>
      <c r="N365">
        <v>0</v>
      </c>
      <c r="O365">
        <v>0</v>
      </c>
      <c r="P365" s="10" t="s">
        <v>44</v>
      </c>
      <c r="Q365" s="10">
        <f t="array" ref="Q365">IFERROR(SUMPRODUCT((N365:P365&gt;0)*(N365:P365))/3, 0)</f>
        <v>0</v>
      </c>
      <c r="R365" s="10"/>
      <c r="S365" s="11" t="str">
        <f t="shared" si="52"/>
        <v/>
      </c>
      <c r="T365" s="7"/>
      <c r="U365" s="7"/>
      <c r="V365" s="7"/>
      <c r="W365" s="7"/>
      <c r="X365" s="7"/>
      <c r="Y365" s="7"/>
      <c r="Z365" s="15"/>
      <c r="AA365" s="15"/>
      <c r="AB365" s="11" t="str">
        <f t="shared" si="53"/>
        <v/>
      </c>
      <c r="AC365" s="11"/>
      <c r="AD365" s="11"/>
      <c r="AE365" s="11"/>
      <c r="AF365" s="11"/>
      <c r="AG365" s="11"/>
      <c r="AH365" s="11"/>
      <c r="AI365" s="11"/>
      <c r="AJ365" s="15"/>
      <c r="AK365" s="15"/>
      <c r="AL365" s="14">
        <f t="shared" si="54"/>
        <v>3</v>
      </c>
      <c r="AM365" s="11">
        <f t="shared" si="55"/>
        <v>3</v>
      </c>
      <c r="AN365" s="14">
        <f t="shared" si="56"/>
        <v>3</v>
      </c>
      <c r="AO365" s="15"/>
      <c r="AP365" s="15"/>
      <c r="AQ365" s="15"/>
    </row>
    <row r="366" spans="1:43" ht="51" hidden="1" x14ac:dyDescent="0.2">
      <c r="A366" s="7">
        <v>365</v>
      </c>
      <c r="B366" s="19" t="s">
        <v>789</v>
      </c>
      <c r="C366" s="19" t="s">
        <v>790</v>
      </c>
      <c r="D366" s="8" t="s">
        <v>34</v>
      </c>
      <c r="E366" s="19" t="s">
        <v>269</v>
      </c>
      <c r="F366" s="8" t="s">
        <v>36</v>
      </c>
      <c r="G366" s="7" t="s">
        <v>59</v>
      </c>
      <c r="H366" s="9" t="s">
        <v>44</v>
      </c>
      <c r="I366" s="10"/>
      <c r="J366" s="10" t="s">
        <v>40</v>
      </c>
      <c r="K366" s="10" t="s">
        <v>40</v>
      </c>
      <c r="L366" s="10" t="s">
        <v>40</v>
      </c>
      <c r="M366">
        <v>0</v>
      </c>
      <c r="N366">
        <v>0</v>
      </c>
      <c r="O366">
        <v>0</v>
      </c>
      <c r="P366" s="10" t="s">
        <v>44</v>
      </c>
      <c r="Q366" s="10">
        <f t="array" ref="Q366">IFERROR(SUMPRODUCT((N366:P366&gt;0)*(N366:P366))/3, 0)</f>
        <v>0</v>
      </c>
      <c r="R366" s="10"/>
      <c r="S366" s="11" t="str">
        <f t="shared" si="52"/>
        <v/>
      </c>
      <c r="T366" s="7"/>
      <c r="U366" s="7"/>
      <c r="V366" s="7"/>
      <c r="W366" s="7"/>
      <c r="X366" s="7"/>
      <c r="Y366" s="7"/>
      <c r="Z366" s="15"/>
      <c r="AA366" s="15"/>
      <c r="AB366" s="11" t="str">
        <f t="shared" si="53"/>
        <v/>
      </c>
      <c r="AC366" s="11"/>
      <c r="AD366" s="11"/>
      <c r="AE366" s="11"/>
      <c r="AF366" s="11"/>
      <c r="AG366" s="11"/>
      <c r="AH366" s="11"/>
      <c r="AI366" s="11"/>
      <c r="AJ366" s="15"/>
      <c r="AK366" s="15"/>
      <c r="AL366" s="14">
        <f t="shared" si="54"/>
        <v>3</v>
      </c>
      <c r="AM366" s="11">
        <f t="shared" si="55"/>
        <v>3</v>
      </c>
      <c r="AN366" s="14">
        <f t="shared" si="56"/>
        <v>3</v>
      </c>
      <c r="AO366" s="15"/>
      <c r="AP366" s="15"/>
      <c r="AQ366" s="15"/>
    </row>
    <row r="367" spans="1:43" ht="51" hidden="1" x14ac:dyDescent="0.2">
      <c r="A367" s="7">
        <v>366</v>
      </c>
      <c r="B367" s="19" t="s">
        <v>791</v>
      </c>
      <c r="C367" s="19" t="s">
        <v>792</v>
      </c>
      <c r="D367" s="8" t="s">
        <v>34</v>
      </c>
      <c r="E367" s="19" t="s">
        <v>269</v>
      </c>
      <c r="F367" s="8" t="s">
        <v>36</v>
      </c>
      <c r="G367" s="7" t="s">
        <v>59</v>
      </c>
      <c r="H367" s="9" t="s">
        <v>44</v>
      </c>
      <c r="I367" s="10"/>
      <c r="J367" s="10" t="s">
        <v>40</v>
      </c>
      <c r="K367" s="10" t="s">
        <v>40</v>
      </c>
      <c r="L367" s="10" t="s">
        <v>40</v>
      </c>
      <c r="M367">
        <v>0</v>
      </c>
      <c r="N367">
        <v>0</v>
      </c>
      <c r="O367">
        <v>0</v>
      </c>
      <c r="P367" s="10" t="s">
        <v>44</v>
      </c>
      <c r="Q367" s="10">
        <f t="array" ref="Q367">IFERROR(SUMPRODUCT((N367:P367&gt;0)*(N367:P367))/3, 0)</f>
        <v>0</v>
      </c>
      <c r="R367" s="10"/>
      <c r="S367" s="11" t="str">
        <f t="shared" si="52"/>
        <v/>
      </c>
      <c r="T367" s="7"/>
      <c r="U367" s="7"/>
      <c r="V367" s="7"/>
      <c r="W367" s="7"/>
      <c r="X367" s="7"/>
      <c r="Y367" s="7"/>
      <c r="Z367" s="15"/>
      <c r="AA367" s="15"/>
      <c r="AB367" s="11" t="str">
        <f t="shared" si="53"/>
        <v/>
      </c>
      <c r="AC367" s="11"/>
      <c r="AD367" s="11"/>
      <c r="AE367" s="11"/>
      <c r="AF367" s="11"/>
      <c r="AG367" s="11"/>
      <c r="AH367" s="11"/>
      <c r="AI367" s="11"/>
      <c r="AJ367" s="15"/>
      <c r="AK367" s="15"/>
      <c r="AL367" s="14">
        <f t="shared" si="54"/>
        <v>3</v>
      </c>
      <c r="AM367" s="11">
        <f t="shared" si="55"/>
        <v>3</v>
      </c>
      <c r="AN367" s="14">
        <f t="shared" si="56"/>
        <v>3</v>
      </c>
      <c r="AO367" s="15"/>
      <c r="AP367" s="15"/>
      <c r="AQ367" s="15"/>
    </row>
    <row r="368" spans="1:43" ht="51" hidden="1" x14ac:dyDescent="0.2">
      <c r="A368" s="7">
        <v>367</v>
      </c>
      <c r="B368" s="19" t="s">
        <v>793</v>
      </c>
      <c r="C368" s="19" t="s">
        <v>794</v>
      </c>
      <c r="D368" s="8" t="s">
        <v>34</v>
      </c>
      <c r="E368" s="19" t="s">
        <v>269</v>
      </c>
      <c r="F368" s="8" t="s">
        <v>36</v>
      </c>
      <c r="G368" s="7" t="s">
        <v>59</v>
      </c>
      <c r="H368" s="9" t="s">
        <v>44</v>
      </c>
      <c r="I368" s="10"/>
      <c r="J368" s="10" t="s">
        <v>40</v>
      </c>
      <c r="K368" s="10" t="s">
        <v>40</v>
      </c>
      <c r="L368" s="10" t="s">
        <v>40</v>
      </c>
      <c r="M368">
        <v>0</v>
      </c>
      <c r="N368">
        <v>0</v>
      </c>
      <c r="O368">
        <v>0</v>
      </c>
      <c r="P368" s="10" t="s">
        <v>44</v>
      </c>
      <c r="Q368" s="10">
        <f t="array" ref="Q368">IFERROR(SUMPRODUCT((N368:P368&gt;0)*(N368:P368))/3, 0)</f>
        <v>0</v>
      </c>
      <c r="R368" s="10"/>
      <c r="S368" s="11" t="str">
        <f t="shared" si="52"/>
        <v/>
      </c>
      <c r="T368" s="7"/>
      <c r="U368" s="7"/>
      <c r="V368" s="7"/>
      <c r="W368" s="7"/>
      <c r="X368" s="7"/>
      <c r="Y368" s="7"/>
      <c r="Z368" s="15"/>
      <c r="AA368" s="15"/>
      <c r="AB368" s="11" t="str">
        <f t="shared" si="53"/>
        <v/>
      </c>
      <c r="AC368" s="11"/>
      <c r="AD368" s="11"/>
      <c r="AE368" s="11"/>
      <c r="AF368" s="11"/>
      <c r="AG368" s="11"/>
      <c r="AH368" s="11"/>
      <c r="AI368" s="11"/>
      <c r="AJ368" s="15"/>
      <c r="AK368" s="15"/>
      <c r="AL368" s="14">
        <f t="shared" si="54"/>
        <v>3</v>
      </c>
      <c r="AM368" s="11">
        <f t="shared" si="55"/>
        <v>3</v>
      </c>
      <c r="AN368" s="14">
        <f t="shared" si="56"/>
        <v>3</v>
      </c>
      <c r="AO368" s="15"/>
      <c r="AP368" s="15"/>
      <c r="AQ368" s="15"/>
    </row>
    <row r="369" spans="1:43" ht="51" hidden="1" x14ac:dyDescent="0.2">
      <c r="A369" s="7">
        <v>368</v>
      </c>
      <c r="B369" s="19" t="s">
        <v>795</v>
      </c>
      <c r="C369" s="19" t="s">
        <v>796</v>
      </c>
      <c r="D369" s="8" t="s">
        <v>34</v>
      </c>
      <c r="E369" s="19" t="s">
        <v>269</v>
      </c>
      <c r="F369" s="8" t="s">
        <v>36</v>
      </c>
      <c r="G369" s="7" t="s">
        <v>59</v>
      </c>
      <c r="H369" s="9" t="s">
        <v>44</v>
      </c>
      <c r="I369" s="10"/>
      <c r="J369" s="10" t="s">
        <v>40</v>
      </c>
      <c r="K369" s="10" t="s">
        <v>40</v>
      </c>
      <c r="L369" s="10" t="s">
        <v>40</v>
      </c>
      <c r="M369">
        <v>0</v>
      </c>
      <c r="N369">
        <v>0</v>
      </c>
      <c r="O369">
        <v>0</v>
      </c>
      <c r="P369" s="10" t="s">
        <v>44</v>
      </c>
      <c r="Q369" s="10">
        <f t="array" ref="Q369">IFERROR(SUMPRODUCT((N369:P369&gt;0)*(N369:P369))/3, 0)</f>
        <v>0</v>
      </c>
      <c r="R369" s="10"/>
      <c r="S369" s="11" t="str">
        <f t="shared" si="52"/>
        <v/>
      </c>
      <c r="T369" s="7"/>
      <c r="U369" s="7"/>
      <c r="V369" s="7"/>
      <c r="W369" s="7"/>
      <c r="X369" s="7"/>
      <c r="Y369" s="7"/>
      <c r="Z369" s="15"/>
      <c r="AA369" s="15"/>
      <c r="AB369" s="11" t="str">
        <f t="shared" si="53"/>
        <v/>
      </c>
      <c r="AC369" s="11"/>
      <c r="AD369" s="11"/>
      <c r="AE369" s="11"/>
      <c r="AF369" s="11"/>
      <c r="AG369" s="11"/>
      <c r="AH369" s="11"/>
      <c r="AI369" s="11"/>
      <c r="AJ369" s="15"/>
      <c r="AK369" s="15"/>
      <c r="AL369" s="14">
        <f t="shared" si="54"/>
        <v>3</v>
      </c>
      <c r="AM369" s="11">
        <f t="shared" si="55"/>
        <v>3</v>
      </c>
      <c r="AN369" s="14">
        <f t="shared" si="56"/>
        <v>3</v>
      </c>
      <c r="AO369" s="15"/>
      <c r="AP369" s="15"/>
      <c r="AQ369" s="15"/>
    </row>
    <row r="370" spans="1:43" ht="51" hidden="1" x14ac:dyDescent="0.2">
      <c r="A370" s="7">
        <v>369</v>
      </c>
      <c r="B370" s="19" t="s">
        <v>797</v>
      </c>
      <c r="C370" s="19" t="s">
        <v>798</v>
      </c>
      <c r="D370" s="8" t="s">
        <v>34</v>
      </c>
      <c r="E370" s="19" t="s">
        <v>269</v>
      </c>
      <c r="F370" s="8" t="s">
        <v>36</v>
      </c>
      <c r="G370" s="7" t="s">
        <v>59</v>
      </c>
      <c r="H370" s="9" t="s">
        <v>44</v>
      </c>
      <c r="I370" s="10"/>
      <c r="J370" s="10" t="s">
        <v>40</v>
      </c>
      <c r="K370" s="10" t="s">
        <v>40</v>
      </c>
      <c r="L370" s="10" t="s">
        <v>40</v>
      </c>
      <c r="M370">
        <v>0</v>
      </c>
      <c r="N370">
        <v>0</v>
      </c>
      <c r="O370">
        <v>0</v>
      </c>
      <c r="P370" s="10" t="s">
        <v>44</v>
      </c>
      <c r="Q370" s="10">
        <f t="array" ref="Q370">IFERROR(SUMPRODUCT((N370:P370&gt;0)*(N370:P370))/3, 0)</f>
        <v>0</v>
      </c>
      <c r="R370" s="10"/>
      <c r="S370" s="11" t="str">
        <f t="shared" si="52"/>
        <v/>
      </c>
      <c r="T370" s="7"/>
      <c r="U370" s="7"/>
      <c r="V370" s="7"/>
      <c r="W370" s="7"/>
      <c r="X370" s="7"/>
      <c r="Y370" s="7"/>
      <c r="Z370" s="15"/>
      <c r="AA370" s="15"/>
      <c r="AB370" s="11" t="str">
        <f t="shared" si="53"/>
        <v/>
      </c>
      <c r="AC370" s="11"/>
      <c r="AD370" s="11"/>
      <c r="AE370" s="11"/>
      <c r="AF370" s="11"/>
      <c r="AG370" s="11"/>
      <c r="AH370" s="11"/>
      <c r="AI370" s="11"/>
      <c r="AJ370" s="15"/>
      <c r="AK370" s="15"/>
      <c r="AL370" s="14">
        <f t="shared" si="54"/>
        <v>3</v>
      </c>
      <c r="AM370" s="11">
        <f t="shared" si="55"/>
        <v>3</v>
      </c>
      <c r="AN370" s="14">
        <f t="shared" si="56"/>
        <v>3</v>
      </c>
      <c r="AO370" s="15"/>
      <c r="AP370" s="15"/>
      <c r="AQ370" s="15"/>
    </row>
    <row r="371" spans="1:43" ht="51" hidden="1" x14ac:dyDescent="0.2">
      <c r="A371" s="7">
        <v>370</v>
      </c>
      <c r="B371" s="19" t="s">
        <v>799</v>
      </c>
      <c r="C371" s="19" t="s">
        <v>800</v>
      </c>
      <c r="D371" s="8" t="s">
        <v>34</v>
      </c>
      <c r="E371" s="19" t="s">
        <v>269</v>
      </c>
      <c r="F371" s="8" t="s">
        <v>36</v>
      </c>
      <c r="G371" s="7" t="s">
        <v>59</v>
      </c>
      <c r="H371" s="9" t="s">
        <v>44</v>
      </c>
      <c r="I371" s="10"/>
      <c r="J371" s="10" t="s">
        <v>40</v>
      </c>
      <c r="K371" s="10" t="s">
        <v>40</v>
      </c>
      <c r="L371" s="10" t="s">
        <v>40</v>
      </c>
      <c r="M371">
        <v>0</v>
      </c>
      <c r="N371">
        <v>0</v>
      </c>
      <c r="O371">
        <v>0</v>
      </c>
      <c r="P371" s="10" t="s">
        <v>44</v>
      </c>
      <c r="Q371" s="10">
        <f t="array" ref="Q371">IFERROR(SUMPRODUCT((N371:P371&gt;0)*(N371:P371))/3, 0)</f>
        <v>0</v>
      </c>
      <c r="R371" s="10"/>
      <c r="S371" s="11" t="str">
        <f t="shared" si="52"/>
        <v/>
      </c>
      <c r="T371" s="7"/>
      <c r="U371" s="7"/>
      <c r="V371" s="7"/>
      <c r="W371" s="7"/>
      <c r="X371" s="7"/>
      <c r="Y371" s="7"/>
      <c r="Z371" s="15"/>
      <c r="AA371" s="15"/>
      <c r="AB371" s="11" t="str">
        <f t="shared" si="53"/>
        <v/>
      </c>
      <c r="AC371" s="11"/>
      <c r="AD371" s="11"/>
      <c r="AE371" s="11"/>
      <c r="AF371" s="11"/>
      <c r="AG371" s="11"/>
      <c r="AH371" s="11"/>
      <c r="AI371" s="11"/>
      <c r="AJ371" s="15"/>
      <c r="AK371" s="15"/>
      <c r="AL371" s="14">
        <f t="shared" si="54"/>
        <v>3</v>
      </c>
      <c r="AM371" s="11">
        <f t="shared" si="55"/>
        <v>3</v>
      </c>
      <c r="AN371" s="14">
        <f t="shared" si="56"/>
        <v>3</v>
      </c>
      <c r="AO371" s="15"/>
      <c r="AP371" s="15"/>
      <c r="AQ371" s="15"/>
    </row>
    <row r="372" spans="1:43" ht="51" hidden="1" x14ac:dyDescent="0.2">
      <c r="A372" s="7">
        <v>371</v>
      </c>
      <c r="B372" s="19" t="s">
        <v>801</v>
      </c>
      <c r="C372" s="19" t="s">
        <v>802</v>
      </c>
      <c r="D372" s="8" t="s">
        <v>34</v>
      </c>
      <c r="E372" s="19" t="s">
        <v>269</v>
      </c>
      <c r="F372" s="8" t="s">
        <v>36</v>
      </c>
      <c r="G372" s="7" t="s">
        <v>59</v>
      </c>
      <c r="H372" s="9" t="s">
        <v>44</v>
      </c>
      <c r="I372" s="10"/>
      <c r="J372" s="10" t="s">
        <v>40</v>
      </c>
      <c r="K372" s="10" t="s">
        <v>40</v>
      </c>
      <c r="L372" s="10" t="s">
        <v>40</v>
      </c>
      <c r="M372">
        <v>0</v>
      </c>
      <c r="N372">
        <v>0</v>
      </c>
      <c r="O372">
        <v>0</v>
      </c>
      <c r="P372" s="10" t="s">
        <v>44</v>
      </c>
      <c r="Q372" s="10">
        <f t="array" ref="Q372">IFERROR(SUMPRODUCT((N372:P372&gt;0)*(N372:P372))/3, 0)</f>
        <v>0</v>
      </c>
      <c r="R372" s="10"/>
      <c r="S372" s="11" t="str">
        <f t="shared" si="52"/>
        <v/>
      </c>
      <c r="T372" s="7"/>
      <c r="U372" s="7"/>
      <c r="V372" s="7"/>
      <c r="W372" s="7"/>
      <c r="X372" s="7"/>
      <c r="Y372" s="7"/>
      <c r="Z372" s="15"/>
      <c r="AA372" s="15"/>
      <c r="AB372" s="11" t="str">
        <f t="shared" si="53"/>
        <v/>
      </c>
      <c r="AC372" s="11"/>
      <c r="AD372" s="11"/>
      <c r="AE372" s="11"/>
      <c r="AF372" s="11"/>
      <c r="AG372" s="11"/>
      <c r="AH372" s="11"/>
      <c r="AI372" s="11"/>
      <c r="AJ372" s="15"/>
      <c r="AK372" s="15"/>
      <c r="AL372" s="14">
        <f t="shared" si="54"/>
        <v>3</v>
      </c>
      <c r="AM372" s="11">
        <f t="shared" si="55"/>
        <v>3</v>
      </c>
      <c r="AN372" s="14">
        <f t="shared" si="56"/>
        <v>3</v>
      </c>
      <c r="AO372" s="15"/>
      <c r="AP372" s="15"/>
      <c r="AQ372" s="15"/>
    </row>
    <row r="373" spans="1:43" ht="51" hidden="1" x14ac:dyDescent="0.2">
      <c r="A373" s="7">
        <v>372</v>
      </c>
      <c r="B373" s="19" t="s">
        <v>803</v>
      </c>
      <c r="C373" s="19" t="s">
        <v>804</v>
      </c>
      <c r="D373" s="8" t="s">
        <v>34</v>
      </c>
      <c r="E373" s="19" t="s">
        <v>269</v>
      </c>
      <c r="F373" s="8" t="s">
        <v>36</v>
      </c>
      <c r="G373" s="7" t="s">
        <v>59</v>
      </c>
      <c r="H373" s="9" t="s">
        <v>44</v>
      </c>
      <c r="I373" s="10"/>
      <c r="J373" s="10" t="s">
        <v>40</v>
      </c>
      <c r="K373" s="10" t="s">
        <v>40</v>
      </c>
      <c r="L373" s="10" t="s">
        <v>40</v>
      </c>
      <c r="M373">
        <v>0</v>
      </c>
      <c r="N373">
        <v>0</v>
      </c>
      <c r="O373">
        <v>0</v>
      </c>
      <c r="P373" s="10" t="s">
        <v>44</v>
      </c>
      <c r="Q373" s="10">
        <f t="array" ref="Q373">IFERROR(SUMPRODUCT((N373:P373&gt;0)*(N373:P373))/3, 0)</f>
        <v>0</v>
      </c>
      <c r="R373" s="10"/>
      <c r="S373" s="11" t="str">
        <f t="shared" si="52"/>
        <v/>
      </c>
      <c r="T373" s="7"/>
      <c r="U373" s="7"/>
      <c r="V373" s="7"/>
      <c r="W373" s="7"/>
      <c r="X373" s="7"/>
      <c r="Y373" s="7"/>
      <c r="Z373" s="15"/>
      <c r="AA373" s="15"/>
      <c r="AB373" s="11" t="str">
        <f t="shared" si="53"/>
        <v/>
      </c>
      <c r="AC373" s="11"/>
      <c r="AD373" s="11"/>
      <c r="AE373" s="11"/>
      <c r="AF373" s="11"/>
      <c r="AG373" s="11"/>
      <c r="AH373" s="11"/>
      <c r="AI373" s="11"/>
      <c r="AJ373" s="15"/>
      <c r="AK373" s="15"/>
      <c r="AL373" s="14">
        <f t="shared" si="54"/>
        <v>3</v>
      </c>
      <c r="AM373" s="11">
        <f t="shared" si="55"/>
        <v>3</v>
      </c>
      <c r="AN373" s="14">
        <f t="shared" si="56"/>
        <v>3</v>
      </c>
      <c r="AO373" s="15"/>
      <c r="AP373" s="15"/>
      <c r="AQ373" s="15"/>
    </row>
    <row r="374" spans="1:43" ht="51" hidden="1" x14ac:dyDescent="0.2">
      <c r="A374" s="7">
        <v>373</v>
      </c>
      <c r="B374" s="19" t="s">
        <v>805</v>
      </c>
      <c r="C374" s="19" t="s">
        <v>806</v>
      </c>
      <c r="D374" s="8" t="s">
        <v>34</v>
      </c>
      <c r="E374" s="19" t="s">
        <v>269</v>
      </c>
      <c r="F374" s="8" t="s">
        <v>36</v>
      </c>
      <c r="G374" s="7" t="s">
        <v>59</v>
      </c>
      <c r="H374" s="9" t="s">
        <v>44</v>
      </c>
      <c r="I374" s="10"/>
      <c r="J374" s="10" t="s">
        <v>40</v>
      </c>
      <c r="K374" s="10" t="s">
        <v>40</v>
      </c>
      <c r="L374" s="10" t="s">
        <v>40</v>
      </c>
      <c r="M374">
        <v>0</v>
      </c>
      <c r="N374">
        <v>0</v>
      </c>
      <c r="O374">
        <v>0</v>
      </c>
      <c r="P374" s="10" t="s">
        <v>44</v>
      </c>
      <c r="Q374" s="10">
        <f t="array" ref="Q374">IFERROR(SUMPRODUCT((N374:P374&gt;0)*(N374:P374))/3, 0)</f>
        <v>0</v>
      </c>
      <c r="R374" s="10"/>
      <c r="S374" s="11" t="str">
        <f t="shared" si="52"/>
        <v/>
      </c>
      <c r="T374" s="7"/>
      <c r="U374" s="7"/>
      <c r="V374" s="7"/>
      <c r="W374" s="7"/>
      <c r="X374" s="7"/>
      <c r="Y374" s="7"/>
      <c r="Z374" s="15"/>
      <c r="AA374" s="15"/>
      <c r="AB374" s="11" t="str">
        <f t="shared" si="53"/>
        <v/>
      </c>
      <c r="AC374" s="11"/>
      <c r="AD374" s="11"/>
      <c r="AE374" s="11"/>
      <c r="AF374" s="11"/>
      <c r="AG374" s="11"/>
      <c r="AH374" s="11"/>
      <c r="AI374" s="11"/>
      <c r="AJ374" s="15"/>
      <c r="AK374" s="15"/>
      <c r="AL374" s="14">
        <f t="shared" si="54"/>
        <v>3</v>
      </c>
      <c r="AM374" s="11">
        <f t="shared" si="55"/>
        <v>3</v>
      </c>
      <c r="AN374" s="14">
        <f t="shared" si="56"/>
        <v>3</v>
      </c>
      <c r="AO374" s="15"/>
      <c r="AP374" s="15"/>
      <c r="AQ374" s="15"/>
    </row>
    <row r="375" spans="1:43" ht="51" hidden="1" x14ac:dyDescent="0.2">
      <c r="A375" s="7">
        <v>374</v>
      </c>
      <c r="B375" s="19" t="s">
        <v>807</v>
      </c>
      <c r="C375" s="19" t="s">
        <v>808</v>
      </c>
      <c r="D375" s="8" t="s">
        <v>34</v>
      </c>
      <c r="E375" s="19" t="s">
        <v>269</v>
      </c>
      <c r="F375" s="8" t="s">
        <v>36</v>
      </c>
      <c r="G375" s="7" t="s">
        <v>59</v>
      </c>
      <c r="H375" s="9" t="s">
        <v>44</v>
      </c>
      <c r="I375" s="10"/>
      <c r="J375" s="10" t="s">
        <v>40</v>
      </c>
      <c r="K375" s="10" t="s">
        <v>40</v>
      </c>
      <c r="L375" s="10" t="s">
        <v>40</v>
      </c>
      <c r="M375">
        <v>0</v>
      </c>
      <c r="N375">
        <v>0</v>
      </c>
      <c r="O375">
        <v>0</v>
      </c>
      <c r="P375" s="10" t="s">
        <v>44</v>
      </c>
      <c r="Q375" s="10">
        <f t="array" ref="Q375">IFERROR(SUMPRODUCT((N375:P375&gt;0)*(N375:P375))/3, 0)</f>
        <v>0</v>
      </c>
      <c r="R375" s="10"/>
      <c r="S375" s="11" t="str">
        <f t="shared" si="52"/>
        <v/>
      </c>
      <c r="T375" s="7"/>
      <c r="U375" s="7"/>
      <c r="V375" s="7"/>
      <c r="W375" s="7"/>
      <c r="X375" s="7"/>
      <c r="Y375" s="7"/>
      <c r="Z375" s="15"/>
      <c r="AA375" s="15"/>
      <c r="AB375" s="11" t="str">
        <f t="shared" si="53"/>
        <v/>
      </c>
      <c r="AC375" s="11"/>
      <c r="AD375" s="11"/>
      <c r="AE375" s="11"/>
      <c r="AF375" s="11"/>
      <c r="AG375" s="11"/>
      <c r="AH375" s="11"/>
      <c r="AI375" s="11"/>
      <c r="AJ375" s="15"/>
      <c r="AK375" s="15"/>
      <c r="AL375" s="14">
        <f t="shared" si="54"/>
        <v>3</v>
      </c>
      <c r="AM375" s="11">
        <f t="shared" si="55"/>
        <v>3</v>
      </c>
      <c r="AN375" s="14">
        <f t="shared" si="56"/>
        <v>3</v>
      </c>
      <c r="AO375" s="15"/>
      <c r="AP375" s="15"/>
      <c r="AQ375" s="15"/>
    </row>
    <row r="376" spans="1:43" ht="51" hidden="1" x14ac:dyDescent="0.2">
      <c r="A376" s="7">
        <v>375</v>
      </c>
      <c r="B376" s="19" t="s">
        <v>809</v>
      </c>
      <c r="C376" s="19" t="s">
        <v>810</v>
      </c>
      <c r="D376" s="8" t="s">
        <v>34</v>
      </c>
      <c r="E376" s="19" t="s">
        <v>269</v>
      </c>
      <c r="F376" s="8" t="s">
        <v>36</v>
      </c>
      <c r="G376" s="7" t="s">
        <v>59</v>
      </c>
      <c r="H376" s="9" t="s">
        <v>44</v>
      </c>
      <c r="I376" s="10"/>
      <c r="J376" s="10" t="s">
        <v>40</v>
      </c>
      <c r="K376" s="10" t="s">
        <v>40</v>
      </c>
      <c r="L376" s="10" t="s">
        <v>40</v>
      </c>
      <c r="M376">
        <v>0</v>
      </c>
      <c r="N376">
        <v>0</v>
      </c>
      <c r="O376">
        <v>0</v>
      </c>
      <c r="P376" s="10" t="s">
        <v>44</v>
      </c>
      <c r="Q376" s="10">
        <f t="array" ref="Q376">IFERROR(SUMPRODUCT((N376:P376&gt;0)*(N376:P376))/3, 0)</f>
        <v>0</v>
      </c>
      <c r="R376" s="10"/>
      <c r="S376" s="11" t="str">
        <f t="shared" si="52"/>
        <v/>
      </c>
      <c r="T376" s="7"/>
      <c r="U376" s="7"/>
      <c r="V376" s="7"/>
      <c r="W376" s="7"/>
      <c r="X376" s="7"/>
      <c r="Y376" s="7"/>
      <c r="Z376" s="15"/>
      <c r="AA376" s="15"/>
      <c r="AB376" s="11" t="str">
        <f t="shared" si="53"/>
        <v/>
      </c>
      <c r="AC376" s="11"/>
      <c r="AD376" s="11"/>
      <c r="AE376" s="11"/>
      <c r="AF376" s="11"/>
      <c r="AG376" s="11"/>
      <c r="AH376" s="11"/>
      <c r="AI376" s="11"/>
      <c r="AJ376" s="15"/>
      <c r="AK376" s="15"/>
      <c r="AL376" s="14">
        <f t="shared" si="54"/>
        <v>3</v>
      </c>
      <c r="AM376" s="11">
        <f t="shared" si="55"/>
        <v>3</v>
      </c>
      <c r="AN376" s="14">
        <f t="shared" si="56"/>
        <v>3</v>
      </c>
      <c r="AO376" s="15"/>
      <c r="AP376" s="15"/>
      <c r="AQ376" s="15"/>
    </row>
    <row r="377" spans="1:43" ht="51" hidden="1" x14ac:dyDescent="0.2">
      <c r="A377" s="7">
        <v>376</v>
      </c>
      <c r="B377" s="19" t="s">
        <v>811</v>
      </c>
      <c r="C377" s="19" t="s">
        <v>812</v>
      </c>
      <c r="D377" s="8" t="s">
        <v>34</v>
      </c>
      <c r="E377" s="19" t="s">
        <v>269</v>
      </c>
      <c r="F377" s="8" t="s">
        <v>36</v>
      </c>
      <c r="G377" s="7" t="s">
        <v>59</v>
      </c>
      <c r="H377" s="9" t="s">
        <v>44</v>
      </c>
      <c r="I377" s="10"/>
      <c r="J377" s="10" t="s">
        <v>40</v>
      </c>
      <c r="K377" s="10" t="s">
        <v>40</v>
      </c>
      <c r="L377" s="10" t="s">
        <v>40</v>
      </c>
      <c r="M377">
        <v>0</v>
      </c>
      <c r="N377">
        <v>0</v>
      </c>
      <c r="O377">
        <v>0</v>
      </c>
      <c r="P377" s="10" t="s">
        <v>44</v>
      </c>
      <c r="Q377" s="10">
        <f t="array" ref="Q377">IFERROR(SUMPRODUCT((N377:P377&gt;0)*(N377:P377))/3, 0)</f>
        <v>0</v>
      </c>
      <c r="R377" s="10"/>
      <c r="S377" s="11" t="str">
        <f t="shared" si="52"/>
        <v/>
      </c>
      <c r="T377" s="7"/>
      <c r="U377" s="7"/>
      <c r="V377" s="7"/>
      <c r="W377" s="7"/>
      <c r="X377" s="7"/>
      <c r="Y377" s="7"/>
      <c r="Z377" s="15"/>
      <c r="AA377" s="15"/>
      <c r="AB377" s="11" t="str">
        <f t="shared" si="53"/>
        <v/>
      </c>
      <c r="AC377" s="11"/>
      <c r="AD377" s="11"/>
      <c r="AE377" s="11"/>
      <c r="AF377" s="11"/>
      <c r="AG377" s="11"/>
      <c r="AH377" s="11"/>
      <c r="AI377" s="11"/>
      <c r="AJ377" s="15"/>
      <c r="AK377" s="15"/>
      <c r="AL377" s="14">
        <f t="shared" si="54"/>
        <v>3</v>
      </c>
      <c r="AM377" s="11">
        <f t="shared" si="55"/>
        <v>3</v>
      </c>
      <c r="AN377" s="14">
        <f t="shared" si="56"/>
        <v>3</v>
      </c>
      <c r="AO377" s="15"/>
      <c r="AP377" s="15"/>
      <c r="AQ377" s="15"/>
    </row>
    <row r="378" spans="1:43" ht="51" hidden="1" x14ac:dyDescent="0.2">
      <c r="A378" s="7">
        <v>377</v>
      </c>
      <c r="B378" s="19" t="s">
        <v>813</v>
      </c>
      <c r="C378" s="19" t="s">
        <v>814</v>
      </c>
      <c r="D378" s="8" t="s">
        <v>34</v>
      </c>
      <c r="E378" s="19" t="s">
        <v>269</v>
      </c>
      <c r="F378" s="8" t="s">
        <v>36</v>
      </c>
      <c r="G378" s="7" t="s">
        <v>59</v>
      </c>
      <c r="H378" s="9" t="s">
        <v>44</v>
      </c>
      <c r="I378" s="10"/>
      <c r="J378" s="10" t="s">
        <v>40</v>
      </c>
      <c r="K378" s="10" t="s">
        <v>40</v>
      </c>
      <c r="L378" s="10" t="s">
        <v>40</v>
      </c>
      <c r="M378">
        <v>0</v>
      </c>
      <c r="N378">
        <v>0</v>
      </c>
      <c r="O378">
        <v>0</v>
      </c>
      <c r="P378" s="10" t="s">
        <v>44</v>
      </c>
      <c r="Q378" s="10">
        <f t="array" ref="Q378">IFERROR(SUMPRODUCT((N378:P378&gt;0)*(N378:P378))/3, 0)</f>
        <v>0</v>
      </c>
      <c r="R378" s="10"/>
      <c r="S378" s="11" t="str">
        <f t="shared" si="52"/>
        <v/>
      </c>
      <c r="T378" s="7"/>
      <c r="U378" s="7"/>
      <c r="V378" s="7"/>
      <c r="W378" s="7"/>
      <c r="X378" s="7"/>
      <c r="Y378" s="7"/>
      <c r="Z378" s="15"/>
      <c r="AA378" s="15"/>
      <c r="AB378" s="11" t="str">
        <f t="shared" si="53"/>
        <v/>
      </c>
      <c r="AC378" s="11"/>
      <c r="AD378" s="11"/>
      <c r="AE378" s="11"/>
      <c r="AF378" s="11"/>
      <c r="AG378" s="11"/>
      <c r="AH378" s="11"/>
      <c r="AI378" s="11"/>
      <c r="AJ378" s="15"/>
      <c r="AK378" s="15"/>
      <c r="AL378" s="14">
        <f t="shared" si="54"/>
        <v>3</v>
      </c>
      <c r="AM378" s="11">
        <f t="shared" si="55"/>
        <v>3</v>
      </c>
      <c r="AN378" s="14">
        <f t="shared" si="56"/>
        <v>3</v>
      </c>
      <c r="AO378" s="15"/>
      <c r="AP378" s="15"/>
      <c r="AQ378" s="15"/>
    </row>
    <row r="379" spans="1:43" ht="51" hidden="1" x14ac:dyDescent="0.2">
      <c r="A379" s="7">
        <v>378</v>
      </c>
      <c r="B379" s="19" t="s">
        <v>815</v>
      </c>
      <c r="C379" s="19" t="s">
        <v>816</v>
      </c>
      <c r="D379" s="8" t="s">
        <v>34</v>
      </c>
      <c r="E379" s="19" t="s">
        <v>269</v>
      </c>
      <c r="F379" s="8" t="s">
        <v>36</v>
      </c>
      <c r="G379" s="7" t="s">
        <v>59</v>
      </c>
      <c r="H379" s="9" t="s">
        <v>44</v>
      </c>
      <c r="I379" s="10"/>
      <c r="J379" s="10" t="s">
        <v>40</v>
      </c>
      <c r="K379" s="10" t="s">
        <v>40</v>
      </c>
      <c r="L379" s="10" t="s">
        <v>40</v>
      </c>
      <c r="M379">
        <v>0</v>
      </c>
      <c r="N379">
        <v>0</v>
      </c>
      <c r="O379">
        <v>0</v>
      </c>
      <c r="P379" s="10" t="s">
        <v>44</v>
      </c>
      <c r="Q379" s="10">
        <f t="array" ref="Q379">IFERROR(SUMPRODUCT((N379:P379&gt;0)*(N379:P379))/3, 0)</f>
        <v>0</v>
      </c>
      <c r="R379" s="10"/>
      <c r="S379" s="11" t="str">
        <f t="shared" si="52"/>
        <v/>
      </c>
      <c r="T379" s="7"/>
      <c r="U379" s="7"/>
      <c r="V379" s="7"/>
      <c r="W379" s="7"/>
      <c r="X379" s="7"/>
      <c r="Y379" s="7"/>
      <c r="Z379" s="15"/>
      <c r="AA379" s="15"/>
      <c r="AB379" s="11" t="str">
        <f t="shared" si="53"/>
        <v/>
      </c>
      <c r="AC379" s="11"/>
      <c r="AD379" s="11"/>
      <c r="AE379" s="11"/>
      <c r="AF379" s="11"/>
      <c r="AG379" s="11"/>
      <c r="AH379" s="11"/>
      <c r="AI379" s="11"/>
      <c r="AJ379" s="15"/>
      <c r="AK379" s="15"/>
      <c r="AL379" s="14">
        <f t="shared" si="54"/>
        <v>3</v>
      </c>
      <c r="AM379" s="11">
        <f t="shared" si="55"/>
        <v>3</v>
      </c>
      <c r="AN379" s="14">
        <f t="shared" si="56"/>
        <v>3</v>
      </c>
      <c r="AO379" s="15"/>
      <c r="AP379" s="15"/>
      <c r="AQ379" s="15"/>
    </row>
    <row r="380" spans="1:43" ht="51" hidden="1" x14ac:dyDescent="0.2">
      <c r="A380" s="7">
        <v>379</v>
      </c>
      <c r="B380" s="19" t="s">
        <v>817</v>
      </c>
      <c r="C380" s="19" t="s">
        <v>818</v>
      </c>
      <c r="D380" s="8" t="s">
        <v>34</v>
      </c>
      <c r="E380" s="19" t="s">
        <v>269</v>
      </c>
      <c r="F380" s="8" t="s">
        <v>36</v>
      </c>
      <c r="G380" s="7" t="s">
        <v>59</v>
      </c>
      <c r="H380" s="9" t="s">
        <v>44</v>
      </c>
      <c r="I380" s="10"/>
      <c r="J380" s="10" t="s">
        <v>40</v>
      </c>
      <c r="K380" s="10" t="s">
        <v>40</v>
      </c>
      <c r="L380" s="10" t="s">
        <v>40</v>
      </c>
      <c r="M380">
        <v>0</v>
      </c>
      <c r="N380">
        <v>0</v>
      </c>
      <c r="O380">
        <v>0</v>
      </c>
      <c r="P380" s="10" t="s">
        <v>44</v>
      </c>
      <c r="Q380" s="10">
        <f t="array" ref="Q380">IFERROR(SUMPRODUCT((N380:P380&gt;0)*(N380:P380))/3, 0)</f>
        <v>0</v>
      </c>
      <c r="R380" s="10"/>
      <c r="S380" s="11" t="str">
        <f t="shared" si="52"/>
        <v/>
      </c>
      <c r="T380" s="7"/>
      <c r="U380" s="7"/>
      <c r="V380" s="7"/>
      <c r="W380" s="7"/>
      <c r="X380" s="7"/>
      <c r="Y380" s="7"/>
      <c r="Z380" s="15"/>
      <c r="AA380" s="15"/>
      <c r="AB380" s="11" t="str">
        <f t="shared" si="53"/>
        <v/>
      </c>
      <c r="AC380" s="11"/>
      <c r="AD380" s="11"/>
      <c r="AE380" s="11"/>
      <c r="AF380" s="11"/>
      <c r="AG380" s="11"/>
      <c r="AH380" s="11"/>
      <c r="AI380" s="11"/>
      <c r="AJ380" s="15"/>
      <c r="AK380" s="15"/>
      <c r="AL380" s="14">
        <f t="shared" si="54"/>
        <v>3</v>
      </c>
      <c r="AM380" s="11">
        <f t="shared" si="55"/>
        <v>3</v>
      </c>
      <c r="AN380" s="14">
        <f t="shared" si="56"/>
        <v>3</v>
      </c>
      <c r="AO380" s="15"/>
      <c r="AP380" s="15"/>
      <c r="AQ380" s="15"/>
    </row>
    <row r="381" spans="1:43" ht="51" hidden="1" x14ac:dyDescent="0.2">
      <c r="A381" s="7">
        <v>380</v>
      </c>
      <c r="B381" s="19" t="s">
        <v>819</v>
      </c>
      <c r="C381" s="19" t="s">
        <v>820</v>
      </c>
      <c r="D381" s="8" t="s">
        <v>34</v>
      </c>
      <c r="E381" s="19" t="s">
        <v>269</v>
      </c>
      <c r="F381" s="8" t="s">
        <v>36</v>
      </c>
      <c r="G381" s="7" t="s">
        <v>59</v>
      </c>
      <c r="H381" s="9" t="s">
        <v>44</v>
      </c>
      <c r="I381" s="10"/>
      <c r="J381" s="10" t="s">
        <v>40</v>
      </c>
      <c r="K381" s="10" t="s">
        <v>40</v>
      </c>
      <c r="L381" s="10" t="s">
        <v>40</v>
      </c>
      <c r="M381">
        <v>0</v>
      </c>
      <c r="N381">
        <v>0</v>
      </c>
      <c r="O381">
        <v>0</v>
      </c>
      <c r="P381" s="10" t="s">
        <v>44</v>
      </c>
      <c r="Q381" s="10">
        <f t="array" ref="Q381">IFERROR(SUMPRODUCT((N381:P381&gt;0)*(N381:P381))/3, 0)</f>
        <v>0</v>
      </c>
      <c r="R381" s="10"/>
      <c r="S381" s="11" t="str">
        <f t="shared" si="52"/>
        <v/>
      </c>
      <c r="T381" s="7"/>
      <c r="U381" s="7"/>
      <c r="V381" s="7"/>
      <c r="W381" s="7"/>
      <c r="X381" s="7"/>
      <c r="Y381" s="7"/>
      <c r="Z381" s="15"/>
      <c r="AA381" s="15"/>
      <c r="AB381" s="11" t="str">
        <f t="shared" si="53"/>
        <v/>
      </c>
      <c r="AC381" s="11"/>
      <c r="AD381" s="11"/>
      <c r="AE381" s="11"/>
      <c r="AF381" s="11"/>
      <c r="AG381" s="11"/>
      <c r="AH381" s="11"/>
      <c r="AI381" s="11"/>
      <c r="AJ381" s="15"/>
      <c r="AK381" s="15"/>
      <c r="AL381" s="14">
        <f t="shared" si="54"/>
        <v>3</v>
      </c>
      <c r="AM381" s="11">
        <f t="shared" si="55"/>
        <v>3</v>
      </c>
      <c r="AN381" s="14">
        <f t="shared" si="56"/>
        <v>3</v>
      </c>
      <c r="AO381" s="15"/>
      <c r="AP381" s="15"/>
      <c r="AQ381" s="15"/>
    </row>
    <row r="382" spans="1:43" ht="51" hidden="1" x14ac:dyDescent="0.2">
      <c r="A382" s="7">
        <v>381</v>
      </c>
      <c r="B382" s="19" t="s">
        <v>821</v>
      </c>
      <c r="C382" s="19" t="s">
        <v>822</v>
      </c>
      <c r="D382" s="8" t="s">
        <v>34</v>
      </c>
      <c r="E382" s="19" t="s">
        <v>269</v>
      </c>
      <c r="F382" s="8" t="s">
        <v>36</v>
      </c>
      <c r="G382" s="7" t="s">
        <v>59</v>
      </c>
      <c r="H382" s="9" t="s">
        <v>44</v>
      </c>
      <c r="I382" s="10"/>
      <c r="J382" s="10" t="s">
        <v>40</v>
      </c>
      <c r="K382" s="10" t="s">
        <v>40</v>
      </c>
      <c r="L382" s="10" t="s">
        <v>40</v>
      </c>
      <c r="M382">
        <v>0</v>
      </c>
      <c r="N382">
        <v>0</v>
      </c>
      <c r="O382">
        <v>0</v>
      </c>
      <c r="P382" s="10" t="s">
        <v>44</v>
      </c>
      <c r="Q382" s="10">
        <f t="array" ref="Q382">IFERROR(SUMPRODUCT((N382:P382&gt;0)*(N382:P382))/3, 0)</f>
        <v>0</v>
      </c>
      <c r="R382" s="10"/>
      <c r="S382" s="11" t="str">
        <f t="shared" si="52"/>
        <v/>
      </c>
      <c r="T382" s="7"/>
      <c r="U382" s="7"/>
      <c r="V382" s="7"/>
      <c r="W382" s="7"/>
      <c r="X382" s="7"/>
      <c r="Y382" s="7"/>
      <c r="Z382" s="15"/>
      <c r="AA382" s="15"/>
      <c r="AB382" s="11" t="str">
        <f t="shared" si="53"/>
        <v/>
      </c>
      <c r="AC382" s="11"/>
      <c r="AD382" s="11"/>
      <c r="AE382" s="11"/>
      <c r="AF382" s="11"/>
      <c r="AG382" s="11"/>
      <c r="AH382" s="11"/>
      <c r="AI382" s="11"/>
      <c r="AJ382" s="15"/>
      <c r="AK382" s="15"/>
      <c r="AL382" s="14">
        <f t="shared" si="54"/>
        <v>3</v>
      </c>
      <c r="AM382" s="11">
        <f t="shared" si="55"/>
        <v>3</v>
      </c>
      <c r="AN382" s="14">
        <f t="shared" si="56"/>
        <v>3</v>
      </c>
      <c r="AO382" s="15"/>
      <c r="AP382" s="15"/>
      <c r="AQ382" s="15"/>
    </row>
    <row r="383" spans="1:43" ht="51" hidden="1" x14ac:dyDescent="0.2">
      <c r="A383" s="7">
        <v>382</v>
      </c>
      <c r="B383" s="19" t="s">
        <v>823</v>
      </c>
      <c r="C383" s="19" t="s">
        <v>824</v>
      </c>
      <c r="D383" s="8" t="s">
        <v>34</v>
      </c>
      <c r="E383" s="19" t="s">
        <v>269</v>
      </c>
      <c r="F383" s="8" t="s">
        <v>36</v>
      </c>
      <c r="G383" s="7" t="s">
        <v>59</v>
      </c>
      <c r="H383" s="9" t="s">
        <v>44</v>
      </c>
      <c r="I383" s="10"/>
      <c r="J383" s="10" t="s">
        <v>40</v>
      </c>
      <c r="K383" s="10" t="s">
        <v>40</v>
      </c>
      <c r="L383" s="10" t="s">
        <v>40</v>
      </c>
      <c r="M383">
        <v>0</v>
      </c>
      <c r="N383">
        <v>0</v>
      </c>
      <c r="O383">
        <v>0</v>
      </c>
      <c r="P383" s="10" t="s">
        <v>44</v>
      </c>
      <c r="Q383" s="10">
        <f t="array" ref="Q383">IFERROR(SUMPRODUCT((N383:P383&gt;0)*(N383:P383))/3, 0)</f>
        <v>0</v>
      </c>
      <c r="R383" s="10"/>
      <c r="S383" s="11" t="str">
        <f t="shared" si="52"/>
        <v/>
      </c>
      <c r="T383" s="7"/>
      <c r="U383" s="7"/>
      <c r="V383" s="7"/>
      <c r="W383" s="7"/>
      <c r="X383" s="7"/>
      <c r="Y383" s="7"/>
      <c r="Z383" s="15"/>
      <c r="AA383" s="15"/>
      <c r="AB383" s="11" t="str">
        <f t="shared" si="53"/>
        <v/>
      </c>
      <c r="AC383" s="11"/>
      <c r="AD383" s="11"/>
      <c r="AE383" s="11"/>
      <c r="AF383" s="11"/>
      <c r="AG383" s="11"/>
      <c r="AH383" s="11"/>
      <c r="AI383" s="11"/>
      <c r="AJ383" s="15"/>
      <c r="AK383" s="15"/>
      <c r="AL383" s="14">
        <f t="shared" si="54"/>
        <v>3</v>
      </c>
      <c r="AM383" s="11">
        <f t="shared" si="55"/>
        <v>3</v>
      </c>
      <c r="AN383" s="14">
        <f t="shared" si="56"/>
        <v>3</v>
      </c>
      <c r="AO383" s="15"/>
      <c r="AP383" s="15"/>
      <c r="AQ383" s="15"/>
    </row>
    <row r="384" spans="1:43" ht="51" hidden="1" x14ac:dyDescent="0.2">
      <c r="A384" s="7">
        <v>383</v>
      </c>
      <c r="B384" s="19" t="s">
        <v>825</v>
      </c>
      <c r="C384" s="19" t="s">
        <v>826</v>
      </c>
      <c r="D384" s="8" t="s">
        <v>34</v>
      </c>
      <c r="E384" s="19" t="s">
        <v>269</v>
      </c>
      <c r="F384" s="8" t="s">
        <v>36</v>
      </c>
      <c r="G384" s="7" t="s">
        <v>59</v>
      </c>
      <c r="H384" s="9" t="s">
        <v>44</v>
      </c>
      <c r="I384" s="10"/>
      <c r="J384" s="10" t="s">
        <v>40</v>
      </c>
      <c r="K384" s="10" t="s">
        <v>40</v>
      </c>
      <c r="L384" s="10" t="s">
        <v>40</v>
      </c>
      <c r="M384">
        <v>0</v>
      </c>
      <c r="N384">
        <v>0</v>
      </c>
      <c r="O384">
        <v>0</v>
      </c>
      <c r="P384" s="10" t="s">
        <v>44</v>
      </c>
      <c r="Q384" s="10">
        <f t="array" ref="Q384">IFERROR(SUMPRODUCT((N384:P384&gt;0)*(N384:P384))/3, 0)</f>
        <v>0</v>
      </c>
      <c r="R384" s="10"/>
      <c r="S384" s="11" t="str">
        <f t="shared" si="52"/>
        <v/>
      </c>
      <c r="T384" s="7"/>
      <c r="U384" s="7"/>
      <c r="V384" s="7"/>
      <c r="W384" s="7"/>
      <c r="X384" s="7"/>
      <c r="Y384" s="7"/>
      <c r="Z384" s="15"/>
      <c r="AA384" s="15"/>
      <c r="AB384" s="11" t="str">
        <f t="shared" si="53"/>
        <v/>
      </c>
      <c r="AC384" s="11"/>
      <c r="AD384" s="11"/>
      <c r="AE384" s="11"/>
      <c r="AF384" s="11"/>
      <c r="AG384" s="11"/>
      <c r="AH384" s="11"/>
      <c r="AI384" s="11"/>
      <c r="AJ384" s="15"/>
      <c r="AK384" s="15"/>
      <c r="AL384" s="14">
        <f t="shared" si="54"/>
        <v>3</v>
      </c>
      <c r="AM384" s="11">
        <f t="shared" si="55"/>
        <v>3</v>
      </c>
      <c r="AN384" s="14">
        <f t="shared" si="56"/>
        <v>3</v>
      </c>
      <c r="AO384" s="15"/>
      <c r="AP384" s="15"/>
      <c r="AQ384" s="15"/>
    </row>
    <row r="385" spans="1:43" ht="51" hidden="1" x14ac:dyDescent="0.2">
      <c r="A385" s="7">
        <v>384</v>
      </c>
      <c r="B385" s="19" t="s">
        <v>827</v>
      </c>
      <c r="C385" s="19" t="s">
        <v>828</v>
      </c>
      <c r="D385" s="8" t="s">
        <v>34</v>
      </c>
      <c r="E385" s="19" t="s">
        <v>269</v>
      </c>
      <c r="F385" s="8" t="s">
        <v>36</v>
      </c>
      <c r="G385" s="7" t="s">
        <v>59</v>
      </c>
      <c r="H385" s="9" t="s">
        <v>44</v>
      </c>
      <c r="I385" s="10"/>
      <c r="J385" s="10" t="s">
        <v>40</v>
      </c>
      <c r="K385" s="10" t="s">
        <v>40</v>
      </c>
      <c r="L385" s="10" t="s">
        <v>40</v>
      </c>
      <c r="M385">
        <v>0</v>
      </c>
      <c r="N385">
        <v>0</v>
      </c>
      <c r="O385">
        <v>0</v>
      </c>
      <c r="P385" s="10" t="s">
        <v>44</v>
      </c>
      <c r="Q385" s="10">
        <f t="array" ref="Q385">IFERROR(SUMPRODUCT((N385:P385&gt;0)*(N385:P385))/3, 0)</f>
        <v>0</v>
      </c>
      <c r="R385" s="10"/>
      <c r="S385" s="11" t="str">
        <f t="shared" si="52"/>
        <v/>
      </c>
      <c r="T385" s="7"/>
      <c r="U385" s="7"/>
      <c r="V385" s="7"/>
      <c r="W385" s="7"/>
      <c r="X385" s="7"/>
      <c r="Y385" s="7"/>
      <c r="Z385" s="15"/>
      <c r="AA385" s="15"/>
      <c r="AB385" s="11" t="str">
        <f t="shared" si="53"/>
        <v/>
      </c>
      <c r="AC385" s="11"/>
      <c r="AD385" s="11"/>
      <c r="AE385" s="11"/>
      <c r="AF385" s="11"/>
      <c r="AG385" s="11"/>
      <c r="AH385" s="11"/>
      <c r="AI385" s="11"/>
      <c r="AJ385" s="15"/>
      <c r="AK385" s="15"/>
      <c r="AL385" s="14">
        <f t="shared" si="54"/>
        <v>3</v>
      </c>
      <c r="AM385" s="11">
        <f t="shared" si="55"/>
        <v>3</v>
      </c>
      <c r="AN385" s="14">
        <f t="shared" si="56"/>
        <v>3</v>
      </c>
      <c r="AO385" s="15"/>
      <c r="AP385" s="15"/>
      <c r="AQ385" s="15"/>
    </row>
    <row r="386" spans="1:43" ht="51" hidden="1" x14ac:dyDescent="0.2">
      <c r="A386" s="7">
        <v>385</v>
      </c>
      <c r="B386" s="19" t="s">
        <v>829</v>
      </c>
      <c r="C386" s="19" t="s">
        <v>830</v>
      </c>
      <c r="D386" s="8" t="s">
        <v>34</v>
      </c>
      <c r="E386" s="19" t="s">
        <v>269</v>
      </c>
      <c r="F386" s="8" t="s">
        <v>36</v>
      </c>
      <c r="G386" s="7" t="s">
        <v>59</v>
      </c>
      <c r="H386" s="9" t="s">
        <v>44</v>
      </c>
      <c r="I386" s="10"/>
      <c r="J386" s="10" t="s">
        <v>40</v>
      </c>
      <c r="K386" s="10" t="s">
        <v>40</v>
      </c>
      <c r="L386" s="10" t="s">
        <v>40</v>
      </c>
      <c r="M386">
        <v>0</v>
      </c>
      <c r="N386">
        <v>0</v>
      </c>
      <c r="O386">
        <v>0</v>
      </c>
      <c r="P386" s="10" t="s">
        <v>44</v>
      </c>
      <c r="Q386" s="10">
        <f t="array" ref="Q386">IFERROR(SUMPRODUCT((N386:P386&gt;0)*(N386:P386))/3, 0)</f>
        <v>0</v>
      </c>
      <c r="R386" s="10"/>
      <c r="S386" s="11" t="str">
        <f t="shared" si="52"/>
        <v/>
      </c>
      <c r="T386" s="7"/>
      <c r="U386" s="7"/>
      <c r="V386" s="7"/>
      <c r="W386" s="7"/>
      <c r="X386" s="7"/>
      <c r="Y386" s="7"/>
      <c r="Z386" s="15"/>
      <c r="AA386" s="15"/>
      <c r="AB386" s="11" t="str">
        <f t="shared" si="53"/>
        <v/>
      </c>
      <c r="AC386" s="11"/>
      <c r="AD386" s="11"/>
      <c r="AE386" s="11"/>
      <c r="AF386" s="11"/>
      <c r="AG386" s="11"/>
      <c r="AH386" s="11"/>
      <c r="AI386" s="11"/>
      <c r="AJ386" s="15"/>
      <c r="AK386" s="15"/>
      <c r="AL386" s="14">
        <f t="shared" si="54"/>
        <v>3</v>
      </c>
      <c r="AM386" s="11">
        <f t="shared" si="55"/>
        <v>3</v>
      </c>
      <c r="AN386" s="14">
        <f t="shared" si="56"/>
        <v>3</v>
      </c>
      <c r="AO386" s="15"/>
      <c r="AP386" s="15"/>
      <c r="AQ386" s="15"/>
    </row>
    <row r="387" spans="1:43" ht="51" hidden="1" x14ac:dyDescent="0.2">
      <c r="A387" s="7">
        <v>386</v>
      </c>
      <c r="B387" s="19" t="s">
        <v>831</v>
      </c>
      <c r="C387" s="19" t="s">
        <v>832</v>
      </c>
      <c r="D387" s="8" t="s">
        <v>34</v>
      </c>
      <c r="E387" s="19" t="s">
        <v>269</v>
      </c>
      <c r="F387" s="8" t="s">
        <v>36</v>
      </c>
      <c r="G387" s="7" t="s">
        <v>59</v>
      </c>
      <c r="H387" s="9" t="s">
        <v>44</v>
      </c>
      <c r="I387" s="10"/>
      <c r="J387" s="10" t="s">
        <v>40</v>
      </c>
      <c r="K387" s="10" t="s">
        <v>40</v>
      </c>
      <c r="L387" s="10" t="s">
        <v>40</v>
      </c>
      <c r="M387">
        <v>0</v>
      </c>
      <c r="N387">
        <v>0</v>
      </c>
      <c r="O387">
        <v>0</v>
      </c>
      <c r="P387" s="10" t="s">
        <v>44</v>
      </c>
      <c r="Q387" s="10">
        <f t="array" ref="Q387">IFERROR(SUMPRODUCT((N387:P387&gt;0)*(N387:P387))/3, 0)</f>
        <v>0</v>
      </c>
      <c r="R387" s="10"/>
      <c r="S387" s="11" t="str">
        <f t="shared" ref="S387:S450" si="57">IF(Q387&gt;0,LOG10(Q387+1),"")</f>
        <v/>
      </c>
      <c r="T387" s="7"/>
      <c r="U387" s="7"/>
      <c r="V387" s="7"/>
      <c r="W387" s="7"/>
      <c r="X387" s="7"/>
      <c r="Y387" s="7"/>
      <c r="Z387" s="15"/>
      <c r="AA387" s="15"/>
      <c r="AB387" s="11" t="str">
        <f t="shared" ref="AB387:AB450" si="58">IF(AA387&gt;0,LOG10(AA387+1),"")</f>
        <v/>
      </c>
      <c r="AC387" s="11"/>
      <c r="AD387" s="11"/>
      <c r="AE387" s="11"/>
      <c r="AF387" s="11"/>
      <c r="AG387" s="11"/>
      <c r="AH387" s="11"/>
      <c r="AI387" s="11"/>
      <c r="AJ387" s="15"/>
      <c r="AK387" s="15"/>
      <c r="AL387" s="14">
        <f t="shared" ref="AL387:AL450" si="59">IF(W387&gt;=5,9,IF(W387 &gt;=3,7,IF(W387=0,3,5)))</f>
        <v>3</v>
      </c>
      <c r="AM387" s="11">
        <f t="shared" ref="AM387:AM450" si="60">IF(I387&lt;4,3,IF(I387&lt;6,5,IF(I387&lt;11,7,9)))</f>
        <v>3</v>
      </c>
      <c r="AN387" s="14">
        <f t="shared" ref="AN387:AN450" si="61">IF(AB387=0,"3",
 IF(AB387="",3,
 IF(AB387&lt;=_xlfn.PERCENTILE.INC($AB$2:$AB$105,0.25),3,
 IF(AB387&lt;=_xlfn.PERCENTILE.INC($AB$2:$AB$105,0.5),5,
 IF(AB387&lt;=_xlfn.PERCENTILE.INC($AB$2:$AB$105,0.75),7,
 9)))))</f>
        <v>3</v>
      </c>
      <c r="AO387" s="15"/>
      <c r="AP387" s="15"/>
      <c r="AQ387" s="15"/>
    </row>
    <row r="388" spans="1:43" ht="51" hidden="1" x14ac:dyDescent="0.2">
      <c r="A388" s="7">
        <v>387</v>
      </c>
      <c r="B388" s="19" t="s">
        <v>833</v>
      </c>
      <c r="C388" s="19" t="s">
        <v>834</v>
      </c>
      <c r="D388" s="8" t="s">
        <v>34</v>
      </c>
      <c r="E388" s="19" t="s">
        <v>269</v>
      </c>
      <c r="F388" s="8" t="s">
        <v>36</v>
      </c>
      <c r="G388" s="7" t="s">
        <v>59</v>
      </c>
      <c r="H388" s="9" t="s">
        <v>44</v>
      </c>
      <c r="I388" s="10"/>
      <c r="J388" s="10" t="s">
        <v>40</v>
      </c>
      <c r="K388" s="10" t="s">
        <v>40</v>
      </c>
      <c r="L388" s="10" t="s">
        <v>40</v>
      </c>
      <c r="M388">
        <v>0</v>
      </c>
      <c r="N388">
        <v>0</v>
      </c>
      <c r="O388">
        <v>0</v>
      </c>
      <c r="P388" s="10" t="s">
        <v>44</v>
      </c>
      <c r="Q388" s="10">
        <f t="array" ref="Q388">IFERROR(SUMPRODUCT((N388:P388&gt;0)*(N388:P388))/3, 0)</f>
        <v>0</v>
      </c>
      <c r="R388" s="10"/>
      <c r="S388" s="11" t="str">
        <f t="shared" si="57"/>
        <v/>
      </c>
      <c r="T388" s="7"/>
      <c r="U388" s="7"/>
      <c r="V388" s="7"/>
      <c r="W388" s="7"/>
      <c r="X388" s="7"/>
      <c r="Y388" s="7"/>
      <c r="Z388" s="15"/>
      <c r="AA388" s="15"/>
      <c r="AB388" s="11" t="str">
        <f t="shared" si="58"/>
        <v/>
      </c>
      <c r="AC388" s="11"/>
      <c r="AD388" s="11"/>
      <c r="AE388" s="11"/>
      <c r="AF388" s="11"/>
      <c r="AG388" s="11"/>
      <c r="AH388" s="11"/>
      <c r="AI388" s="11"/>
      <c r="AJ388" s="15"/>
      <c r="AK388" s="15"/>
      <c r="AL388" s="14">
        <f t="shared" si="59"/>
        <v>3</v>
      </c>
      <c r="AM388" s="11">
        <f t="shared" si="60"/>
        <v>3</v>
      </c>
      <c r="AN388" s="14">
        <f t="shared" si="61"/>
        <v>3</v>
      </c>
      <c r="AO388" s="15"/>
      <c r="AP388" s="15"/>
      <c r="AQ388" s="15"/>
    </row>
    <row r="389" spans="1:43" ht="51" hidden="1" x14ac:dyDescent="0.2">
      <c r="A389" s="7">
        <v>388</v>
      </c>
      <c r="B389" s="19" t="s">
        <v>835</v>
      </c>
      <c r="C389" s="19" t="s">
        <v>836</v>
      </c>
      <c r="D389" s="8" t="s">
        <v>34</v>
      </c>
      <c r="E389" s="19" t="s">
        <v>269</v>
      </c>
      <c r="F389" s="8" t="s">
        <v>36</v>
      </c>
      <c r="G389" s="7" t="s">
        <v>59</v>
      </c>
      <c r="H389" s="9" t="s">
        <v>44</v>
      </c>
      <c r="I389" s="10"/>
      <c r="J389" s="10" t="s">
        <v>40</v>
      </c>
      <c r="K389" s="10" t="s">
        <v>40</v>
      </c>
      <c r="L389" s="10" t="s">
        <v>40</v>
      </c>
      <c r="M389">
        <v>0</v>
      </c>
      <c r="N389">
        <v>0</v>
      </c>
      <c r="O389">
        <v>0</v>
      </c>
      <c r="P389" s="10" t="s">
        <v>44</v>
      </c>
      <c r="Q389" s="10">
        <f t="array" ref="Q389">IFERROR(SUMPRODUCT((N389:P389&gt;0)*(N389:P389))/3, 0)</f>
        <v>0</v>
      </c>
      <c r="R389" s="10"/>
      <c r="S389" s="11" t="str">
        <f t="shared" si="57"/>
        <v/>
      </c>
      <c r="T389" s="7"/>
      <c r="U389" s="7"/>
      <c r="V389" s="7"/>
      <c r="W389" s="7"/>
      <c r="X389" s="7"/>
      <c r="Y389" s="7"/>
      <c r="Z389" s="15"/>
      <c r="AA389" s="15"/>
      <c r="AB389" s="11" t="str">
        <f t="shared" si="58"/>
        <v/>
      </c>
      <c r="AC389" s="11"/>
      <c r="AD389" s="11"/>
      <c r="AE389" s="11"/>
      <c r="AF389" s="11"/>
      <c r="AG389" s="11"/>
      <c r="AH389" s="11"/>
      <c r="AI389" s="11"/>
      <c r="AJ389" s="15"/>
      <c r="AK389" s="15"/>
      <c r="AL389" s="14">
        <f t="shared" si="59"/>
        <v>3</v>
      </c>
      <c r="AM389" s="11">
        <f t="shared" si="60"/>
        <v>3</v>
      </c>
      <c r="AN389" s="14">
        <f t="shared" si="61"/>
        <v>3</v>
      </c>
      <c r="AO389" s="15"/>
      <c r="AP389" s="15"/>
      <c r="AQ389" s="15"/>
    </row>
    <row r="390" spans="1:43" ht="51" hidden="1" x14ac:dyDescent="0.2">
      <c r="A390" s="7">
        <v>389</v>
      </c>
      <c r="B390" s="19" t="s">
        <v>837</v>
      </c>
      <c r="C390" s="19" t="s">
        <v>838</v>
      </c>
      <c r="D390" s="8" t="s">
        <v>34</v>
      </c>
      <c r="E390" s="19" t="s">
        <v>269</v>
      </c>
      <c r="F390" s="8" t="s">
        <v>36</v>
      </c>
      <c r="G390" s="7" t="s">
        <v>59</v>
      </c>
      <c r="H390" s="9" t="s">
        <v>44</v>
      </c>
      <c r="I390" s="10"/>
      <c r="J390" s="10" t="s">
        <v>40</v>
      </c>
      <c r="K390" s="10" t="s">
        <v>40</v>
      </c>
      <c r="L390" s="10" t="s">
        <v>40</v>
      </c>
      <c r="M390">
        <v>0</v>
      </c>
      <c r="N390">
        <v>0</v>
      </c>
      <c r="O390">
        <v>0</v>
      </c>
      <c r="P390" s="10" t="s">
        <v>44</v>
      </c>
      <c r="Q390" s="10">
        <f t="array" ref="Q390">IFERROR(SUMPRODUCT((N390:P390&gt;0)*(N390:P390))/3, 0)</f>
        <v>0</v>
      </c>
      <c r="R390" s="10"/>
      <c r="S390" s="11" t="str">
        <f t="shared" si="57"/>
        <v/>
      </c>
      <c r="T390" s="7"/>
      <c r="U390" s="7"/>
      <c r="V390" s="7"/>
      <c r="W390" s="7"/>
      <c r="X390" s="7"/>
      <c r="Y390" s="7"/>
      <c r="Z390" s="15"/>
      <c r="AA390" s="15"/>
      <c r="AB390" s="11" t="str">
        <f t="shared" si="58"/>
        <v/>
      </c>
      <c r="AC390" s="11"/>
      <c r="AD390" s="11"/>
      <c r="AE390" s="11"/>
      <c r="AF390" s="11"/>
      <c r="AG390" s="11"/>
      <c r="AH390" s="11"/>
      <c r="AI390" s="11"/>
      <c r="AJ390" s="15"/>
      <c r="AK390" s="15"/>
      <c r="AL390" s="14">
        <f t="shared" si="59"/>
        <v>3</v>
      </c>
      <c r="AM390" s="11">
        <f t="shared" si="60"/>
        <v>3</v>
      </c>
      <c r="AN390" s="14">
        <f t="shared" si="61"/>
        <v>3</v>
      </c>
      <c r="AO390" s="15"/>
      <c r="AP390" s="15"/>
      <c r="AQ390" s="15"/>
    </row>
    <row r="391" spans="1:43" ht="51" hidden="1" x14ac:dyDescent="0.2">
      <c r="A391" s="7">
        <v>390</v>
      </c>
      <c r="B391" s="19" t="s">
        <v>839</v>
      </c>
      <c r="C391" s="19" t="s">
        <v>840</v>
      </c>
      <c r="D391" s="8" t="s">
        <v>34</v>
      </c>
      <c r="E391" s="19" t="s">
        <v>269</v>
      </c>
      <c r="F391" s="8" t="s">
        <v>36</v>
      </c>
      <c r="G391" s="7" t="s">
        <v>59</v>
      </c>
      <c r="H391" s="9" t="s">
        <v>44</v>
      </c>
      <c r="I391" s="10"/>
      <c r="J391" s="10" t="s">
        <v>40</v>
      </c>
      <c r="K391" s="10" t="s">
        <v>40</v>
      </c>
      <c r="L391" s="10" t="s">
        <v>40</v>
      </c>
      <c r="M391">
        <v>0</v>
      </c>
      <c r="N391">
        <v>0</v>
      </c>
      <c r="O391">
        <v>0</v>
      </c>
      <c r="P391" s="10" t="s">
        <v>44</v>
      </c>
      <c r="Q391" s="10">
        <f t="array" ref="Q391">IFERROR(SUMPRODUCT((N391:P391&gt;0)*(N391:P391))/3, 0)</f>
        <v>0</v>
      </c>
      <c r="R391" s="10"/>
      <c r="S391" s="11" t="str">
        <f t="shared" si="57"/>
        <v/>
      </c>
      <c r="T391" s="7"/>
      <c r="U391" s="7"/>
      <c r="V391" s="7"/>
      <c r="W391" s="7"/>
      <c r="X391" s="7"/>
      <c r="Y391" s="7"/>
      <c r="Z391" s="15"/>
      <c r="AA391" s="15"/>
      <c r="AB391" s="11" t="str">
        <f t="shared" si="58"/>
        <v/>
      </c>
      <c r="AC391" s="11"/>
      <c r="AD391" s="11"/>
      <c r="AE391" s="11"/>
      <c r="AF391" s="11"/>
      <c r="AG391" s="11"/>
      <c r="AH391" s="11"/>
      <c r="AI391" s="11"/>
      <c r="AJ391" s="15"/>
      <c r="AK391" s="15"/>
      <c r="AL391" s="14">
        <f t="shared" si="59"/>
        <v>3</v>
      </c>
      <c r="AM391" s="11">
        <f t="shared" si="60"/>
        <v>3</v>
      </c>
      <c r="AN391" s="14">
        <f t="shared" si="61"/>
        <v>3</v>
      </c>
      <c r="AO391" s="15"/>
      <c r="AP391" s="15"/>
      <c r="AQ391" s="15"/>
    </row>
    <row r="392" spans="1:43" ht="51" hidden="1" x14ac:dyDescent="0.2">
      <c r="A392" s="7">
        <v>391</v>
      </c>
      <c r="B392" s="19" t="s">
        <v>841</v>
      </c>
      <c r="C392" s="19" t="s">
        <v>842</v>
      </c>
      <c r="D392" s="8" t="s">
        <v>34</v>
      </c>
      <c r="E392" s="19" t="s">
        <v>269</v>
      </c>
      <c r="F392" s="8" t="s">
        <v>36</v>
      </c>
      <c r="G392" s="7" t="s">
        <v>59</v>
      </c>
      <c r="H392" s="9" t="s">
        <v>44</v>
      </c>
      <c r="I392" s="10"/>
      <c r="J392" s="10" t="s">
        <v>40</v>
      </c>
      <c r="K392" s="10" t="s">
        <v>40</v>
      </c>
      <c r="L392" s="10" t="s">
        <v>40</v>
      </c>
      <c r="M392">
        <v>0</v>
      </c>
      <c r="N392">
        <v>0</v>
      </c>
      <c r="O392">
        <v>0</v>
      </c>
      <c r="P392" s="10" t="s">
        <v>44</v>
      </c>
      <c r="Q392" s="10">
        <f t="array" ref="Q392">IFERROR(SUMPRODUCT((N392:P392&gt;0)*(N392:P392))/3, 0)</f>
        <v>0</v>
      </c>
      <c r="R392" s="10"/>
      <c r="S392" s="11" t="str">
        <f t="shared" si="57"/>
        <v/>
      </c>
      <c r="T392" s="7"/>
      <c r="U392" s="7"/>
      <c r="V392" s="7"/>
      <c r="W392" s="7"/>
      <c r="X392" s="7"/>
      <c r="Y392" s="7"/>
      <c r="Z392" s="15"/>
      <c r="AA392" s="15"/>
      <c r="AB392" s="11" t="str">
        <f t="shared" si="58"/>
        <v/>
      </c>
      <c r="AC392" s="11"/>
      <c r="AD392" s="11"/>
      <c r="AE392" s="11"/>
      <c r="AF392" s="11"/>
      <c r="AG392" s="11"/>
      <c r="AH392" s="11"/>
      <c r="AI392" s="11"/>
      <c r="AJ392" s="15"/>
      <c r="AK392" s="15"/>
      <c r="AL392" s="14">
        <f t="shared" si="59"/>
        <v>3</v>
      </c>
      <c r="AM392" s="11">
        <f t="shared" si="60"/>
        <v>3</v>
      </c>
      <c r="AN392" s="14">
        <f t="shared" si="61"/>
        <v>3</v>
      </c>
      <c r="AO392" s="15"/>
      <c r="AP392" s="15"/>
      <c r="AQ392" s="15"/>
    </row>
    <row r="393" spans="1:43" ht="51" hidden="1" x14ac:dyDescent="0.2">
      <c r="A393" s="7">
        <v>392</v>
      </c>
      <c r="B393" s="19" t="s">
        <v>843</v>
      </c>
      <c r="C393" s="19" t="s">
        <v>844</v>
      </c>
      <c r="D393" s="8" t="s">
        <v>34</v>
      </c>
      <c r="E393" s="19" t="s">
        <v>269</v>
      </c>
      <c r="F393" s="8" t="s">
        <v>36</v>
      </c>
      <c r="G393" s="7" t="s">
        <v>59</v>
      </c>
      <c r="H393" s="9" t="s">
        <v>44</v>
      </c>
      <c r="I393" s="10"/>
      <c r="J393" s="10" t="s">
        <v>40</v>
      </c>
      <c r="K393" s="10" t="s">
        <v>40</v>
      </c>
      <c r="L393" s="10" t="s">
        <v>40</v>
      </c>
      <c r="M393">
        <v>0</v>
      </c>
      <c r="N393">
        <v>0</v>
      </c>
      <c r="O393">
        <v>0</v>
      </c>
      <c r="P393" s="10" t="s">
        <v>44</v>
      </c>
      <c r="Q393" s="10">
        <f t="array" ref="Q393">IFERROR(SUMPRODUCT((N393:P393&gt;0)*(N393:P393))/3, 0)</f>
        <v>0</v>
      </c>
      <c r="R393" s="10"/>
      <c r="S393" s="11" t="str">
        <f t="shared" si="57"/>
        <v/>
      </c>
      <c r="T393" s="7"/>
      <c r="U393" s="7"/>
      <c r="V393" s="7"/>
      <c r="W393" s="7"/>
      <c r="X393" s="7"/>
      <c r="Y393" s="7"/>
      <c r="Z393" s="15"/>
      <c r="AA393" s="15"/>
      <c r="AB393" s="11" t="str">
        <f t="shared" si="58"/>
        <v/>
      </c>
      <c r="AC393" s="11"/>
      <c r="AD393" s="11"/>
      <c r="AE393" s="11"/>
      <c r="AF393" s="11"/>
      <c r="AG393" s="11"/>
      <c r="AH393" s="11"/>
      <c r="AI393" s="11"/>
      <c r="AJ393" s="15"/>
      <c r="AK393" s="15"/>
      <c r="AL393" s="14">
        <f t="shared" si="59"/>
        <v>3</v>
      </c>
      <c r="AM393" s="11">
        <f t="shared" si="60"/>
        <v>3</v>
      </c>
      <c r="AN393" s="14">
        <f t="shared" si="61"/>
        <v>3</v>
      </c>
      <c r="AO393" s="15"/>
      <c r="AP393" s="15"/>
      <c r="AQ393" s="15"/>
    </row>
    <row r="394" spans="1:43" ht="51" hidden="1" x14ac:dyDescent="0.2">
      <c r="A394" s="7">
        <v>393</v>
      </c>
      <c r="B394" s="19" t="s">
        <v>845</v>
      </c>
      <c r="C394" s="19" t="s">
        <v>846</v>
      </c>
      <c r="D394" s="8" t="s">
        <v>34</v>
      </c>
      <c r="E394" s="19" t="s">
        <v>269</v>
      </c>
      <c r="F394" s="8" t="s">
        <v>36</v>
      </c>
      <c r="G394" s="7" t="s">
        <v>59</v>
      </c>
      <c r="H394" s="9" t="s">
        <v>44</v>
      </c>
      <c r="I394" s="10"/>
      <c r="J394" s="10" t="s">
        <v>40</v>
      </c>
      <c r="K394" s="10" t="s">
        <v>40</v>
      </c>
      <c r="L394" s="10" t="s">
        <v>40</v>
      </c>
      <c r="M394">
        <v>0</v>
      </c>
      <c r="N394">
        <v>0</v>
      </c>
      <c r="O394">
        <v>0</v>
      </c>
      <c r="P394" s="10" t="s">
        <v>44</v>
      </c>
      <c r="Q394" s="10">
        <f t="array" ref="Q394">IFERROR(SUMPRODUCT((N394:P394&gt;0)*(N394:P394))/3, 0)</f>
        <v>0</v>
      </c>
      <c r="R394" s="10"/>
      <c r="S394" s="11" t="str">
        <f t="shared" si="57"/>
        <v/>
      </c>
      <c r="T394" s="7"/>
      <c r="U394" s="7"/>
      <c r="V394" s="7"/>
      <c r="W394" s="7"/>
      <c r="X394" s="7"/>
      <c r="Y394" s="7"/>
      <c r="Z394" s="15"/>
      <c r="AA394" s="15"/>
      <c r="AB394" s="11" t="str">
        <f t="shared" si="58"/>
        <v/>
      </c>
      <c r="AC394" s="11"/>
      <c r="AD394" s="11"/>
      <c r="AE394" s="11"/>
      <c r="AF394" s="11"/>
      <c r="AG394" s="11"/>
      <c r="AH394" s="11"/>
      <c r="AI394" s="11"/>
      <c r="AJ394" s="15"/>
      <c r="AK394" s="15"/>
      <c r="AL394" s="14">
        <f t="shared" si="59"/>
        <v>3</v>
      </c>
      <c r="AM394" s="11">
        <f t="shared" si="60"/>
        <v>3</v>
      </c>
      <c r="AN394" s="14">
        <f t="shared" si="61"/>
        <v>3</v>
      </c>
      <c r="AO394" s="15"/>
      <c r="AP394" s="15"/>
      <c r="AQ394" s="15"/>
    </row>
    <row r="395" spans="1:43" ht="51" hidden="1" x14ac:dyDescent="0.2">
      <c r="A395" s="7">
        <v>394</v>
      </c>
      <c r="B395" s="19" t="s">
        <v>847</v>
      </c>
      <c r="C395" s="19" t="s">
        <v>848</v>
      </c>
      <c r="D395" s="8" t="s">
        <v>34</v>
      </c>
      <c r="E395" s="19" t="s">
        <v>269</v>
      </c>
      <c r="F395" s="8" t="s">
        <v>36</v>
      </c>
      <c r="G395" s="7" t="s">
        <v>59</v>
      </c>
      <c r="H395" s="9" t="s">
        <v>44</v>
      </c>
      <c r="I395" s="10"/>
      <c r="J395" s="10" t="s">
        <v>40</v>
      </c>
      <c r="K395" s="10" t="s">
        <v>40</v>
      </c>
      <c r="L395" s="10" t="s">
        <v>40</v>
      </c>
      <c r="M395">
        <v>0</v>
      </c>
      <c r="N395">
        <v>0</v>
      </c>
      <c r="O395">
        <v>0</v>
      </c>
      <c r="P395" s="10" t="s">
        <v>44</v>
      </c>
      <c r="Q395" s="10">
        <f t="array" ref="Q395">IFERROR(SUMPRODUCT((N395:P395&gt;0)*(N395:P395))/3, 0)</f>
        <v>0</v>
      </c>
      <c r="R395" s="10"/>
      <c r="S395" s="11" t="str">
        <f t="shared" si="57"/>
        <v/>
      </c>
      <c r="T395" s="7"/>
      <c r="U395" s="7"/>
      <c r="V395" s="7"/>
      <c r="W395" s="7"/>
      <c r="X395" s="7"/>
      <c r="Y395" s="7"/>
      <c r="Z395" s="15"/>
      <c r="AA395" s="15"/>
      <c r="AB395" s="11" t="str">
        <f t="shared" si="58"/>
        <v/>
      </c>
      <c r="AC395" s="11"/>
      <c r="AD395" s="11"/>
      <c r="AE395" s="11"/>
      <c r="AF395" s="11"/>
      <c r="AG395" s="11"/>
      <c r="AH395" s="11"/>
      <c r="AI395" s="11"/>
      <c r="AJ395" s="15"/>
      <c r="AK395" s="15"/>
      <c r="AL395" s="14">
        <f t="shared" si="59"/>
        <v>3</v>
      </c>
      <c r="AM395" s="11">
        <f t="shared" si="60"/>
        <v>3</v>
      </c>
      <c r="AN395" s="14">
        <f t="shared" si="61"/>
        <v>3</v>
      </c>
      <c r="AO395" s="15"/>
      <c r="AP395" s="15"/>
      <c r="AQ395" s="15"/>
    </row>
    <row r="396" spans="1:43" ht="51" hidden="1" x14ac:dyDescent="0.2">
      <c r="A396" s="7">
        <v>395</v>
      </c>
      <c r="B396" s="19" t="s">
        <v>849</v>
      </c>
      <c r="C396" s="19" t="s">
        <v>850</v>
      </c>
      <c r="D396" s="8" t="s">
        <v>34</v>
      </c>
      <c r="E396" s="19" t="s">
        <v>269</v>
      </c>
      <c r="F396" s="8" t="s">
        <v>36</v>
      </c>
      <c r="G396" s="7" t="s">
        <v>59</v>
      </c>
      <c r="H396" s="9" t="s">
        <v>44</v>
      </c>
      <c r="I396" s="10"/>
      <c r="J396" s="10" t="s">
        <v>40</v>
      </c>
      <c r="K396" s="10" t="s">
        <v>40</v>
      </c>
      <c r="L396" s="10" t="s">
        <v>40</v>
      </c>
      <c r="M396">
        <v>0</v>
      </c>
      <c r="N396">
        <v>0</v>
      </c>
      <c r="O396">
        <v>0</v>
      </c>
      <c r="P396" s="10" t="s">
        <v>44</v>
      </c>
      <c r="Q396" s="10">
        <f t="array" ref="Q396">IFERROR(SUMPRODUCT((N396:P396&gt;0)*(N396:P396))/3, 0)</f>
        <v>0</v>
      </c>
      <c r="R396" s="10"/>
      <c r="S396" s="11" t="str">
        <f t="shared" si="57"/>
        <v/>
      </c>
      <c r="T396" s="7"/>
      <c r="U396" s="7"/>
      <c r="V396" s="7"/>
      <c r="W396" s="7"/>
      <c r="X396" s="7"/>
      <c r="Y396" s="7"/>
      <c r="Z396" s="15"/>
      <c r="AA396" s="15"/>
      <c r="AB396" s="11" t="str">
        <f t="shared" si="58"/>
        <v/>
      </c>
      <c r="AC396" s="11"/>
      <c r="AD396" s="11"/>
      <c r="AE396" s="11"/>
      <c r="AF396" s="11"/>
      <c r="AG396" s="11"/>
      <c r="AH396" s="11"/>
      <c r="AI396" s="11"/>
      <c r="AJ396" s="15"/>
      <c r="AK396" s="15"/>
      <c r="AL396" s="14">
        <f t="shared" si="59"/>
        <v>3</v>
      </c>
      <c r="AM396" s="11">
        <f t="shared" si="60"/>
        <v>3</v>
      </c>
      <c r="AN396" s="14">
        <f t="shared" si="61"/>
        <v>3</v>
      </c>
      <c r="AO396" s="15"/>
      <c r="AP396" s="15"/>
      <c r="AQ396" s="15"/>
    </row>
    <row r="397" spans="1:43" ht="51" hidden="1" x14ac:dyDescent="0.2">
      <c r="A397" s="7">
        <v>396</v>
      </c>
      <c r="B397" s="19" t="s">
        <v>851</v>
      </c>
      <c r="C397" s="19" t="s">
        <v>852</v>
      </c>
      <c r="D397" s="8" t="s">
        <v>34</v>
      </c>
      <c r="E397" s="19" t="s">
        <v>269</v>
      </c>
      <c r="F397" s="8" t="s">
        <v>36</v>
      </c>
      <c r="G397" s="7" t="s">
        <v>59</v>
      </c>
      <c r="H397" s="9" t="s">
        <v>44</v>
      </c>
      <c r="I397" s="10"/>
      <c r="J397" s="10" t="s">
        <v>40</v>
      </c>
      <c r="K397" s="10" t="s">
        <v>40</v>
      </c>
      <c r="L397" s="10" t="s">
        <v>40</v>
      </c>
      <c r="M397">
        <v>0</v>
      </c>
      <c r="N397">
        <v>0</v>
      </c>
      <c r="O397">
        <v>0</v>
      </c>
      <c r="P397" s="10" t="s">
        <v>44</v>
      </c>
      <c r="Q397" s="10">
        <f t="array" ref="Q397">IFERROR(SUMPRODUCT((N397:P397&gt;0)*(N397:P397))/3, 0)</f>
        <v>0</v>
      </c>
      <c r="R397" s="10"/>
      <c r="S397" s="11" t="str">
        <f t="shared" si="57"/>
        <v/>
      </c>
      <c r="T397" s="7"/>
      <c r="U397" s="7"/>
      <c r="V397" s="7"/>
      <c r="W397" s="7"/>
      <c r="X397" s="7"/>
      <c r="Y397" s="7"/>
      <c r="Z397" s="15"/>
      <c r="AA397" s="15"/>
      <c r="AB397" s="11" t="str">
        <f t="shared" si="58"/>
        <v/>
      </c>
      <c r="AC397" s="11"/>
      <c r="AD397" s="11"/>
      <c r="AE397" s="11"/>
      <c r="AF397" s="11"/>
      <c r="AG397" s="11"/>
      <c r="AH397" s="11"/>
      <c r="AI397" s="11"/>
      <c r="AJ397" s="15"/>
      <c r="AK397" s="15"/>
      <c r="AL397" s="14">
        <f t="shared" si="59"/>
        <v>3</v>
      </c>
      <c r="AM397" s="11">
        <f t="shared" si="60"/>
        <v>3</v>
      </c>
      <c r="AN397" s="14">
        <f t="shared" si="61"/>
        <v>3</v>
      </c>
      <c r="AO397" s="15"/>
      <c r="AP397" s="15"/>
      <c r="AQ397" s="15"/>
    </row>
    <row r="398" spans="1:43" ht="51" hidden="1" x14ac:dyDescent="0.2">
      <c r="A398" s="7">
        <v>397</v>
      </c>
      <c r="B398" s="19" t="s">
        <v>853</v>
      </c>
      <c r="C398" s="19" t="s">
        <v>854</v>
      </c>
      <c r="D398" s="8" t="s">
        <v>34</v>
      </c>
      <c r="E398" s="19" t="s">
        <v>269</v>
      </c>
      <c r="F398" s="8" t="s">
        <v>36</v>
      </c>
      <c r="G398" s="7" t="s">
        <v>59</v>
      </c>
      <c r="H398" s="9" t="s">
        <v>44</v>
      </c>
      <c r="I398" s="10"/>
      <c r="J398" s="10" t="s">
        <v>40</v>
      </c>
      <c r="K398" s="10" t="s">
        <v>40</v>
      </c>
      <c r="L398" s="10" t="s">
        <v>40</v>
      </c>
      <c r="M398">
        <v>0</v>
      </c>
      <c r="N398">
        <v>0</v>
      </c>
      <c r="O398">
        <v>0</v>
      </c>
      <c r="P398" s="10" t="s">
        <v>44</v>
      </c>
      <c r="Q398" s="10">
        <f t="array" ref="Q398">IFERROR(SUMPRODUCT((N398:P398&gt;0)*(N398:P398))/3, 0)</f>
        <v>0</v>
      </c>
      <c r="R398" s="10"/>
      <c r="S398" s="11" t="str">
        <f t="shared" si="57"/>
        <v/>
      </c>
      <c r="T398" s="7"/>
      <c r="U398" s="7"/>
      <c r="V398" s="7"/>
      <c r="W398" s="7"/>
      <c r="X398" s="7"/>
      <c r="Y398" s="7"/>
      <c r="Z398" s="15"/>
      <c r="AA398" s="15"/>
      <c r="AB398" s="11" t="str">
        <f t="shared" si="58"/>
        <v/>
      </c>
      <c r="AC398" s="11"/>
      <c r="AD398" s="11"/>
      <c r="AE398" s="11"/>
      <c r="AF398" s="11"/>
      <c r="AG398" s="11"/>
      <c r="AH398" s="11"/>
      <c r="AI398" s="11"/>
      <c r="AJ398" s="15"/>
      <c r="AK398" s="15"/>
      <c r="AL398" s="14">
        <f t="shared" si="59"/>
        <v>3</v>
      </c>
      <c r="AM398" s="11">
        <f t="shared" si="60"/>
        <v>3</v>
      </c>
      <c r="AN398" s="14">
        <f t="shared" si="61"/>
        <v>3</v>
      </c>
      <c r="AO398" s="15"/>
      <c r="AP398" s="15"/>
      <c r="AQ398" s="15"/>
    </row>
    <row r="399" spans="1:43" ht="51" hidden="1" x14ac:dyDescent="0.2">
      <c r="A399" s="7">
        <v>398</v>
      </c>
      <c r="B399" s="19" t="s">
        <v>855</v>
      </c>
      <c r="C399" s="19" t="s">
        <v>856</v>
      </c>
      <c r="D399" s="8" t="s">
        <v>34</v>
      </c>
      <c r="E399" s="19" t="s">
        <v>269</v>
      </c>
      <c r="F399" s="8" t="s">
        <v>36</v>
      </c>
      <c r="G399" s="7" t="s">
        <v>59</v>
      </c>
      <c r="H399" s="9" t="s">
        <v>44</v>
      </c>
      <c r="I399" s="10"/>
      <c r="J399" s="10" t="s">
        <v>40</v>
      </c>
      <c r="K399" s="10" t="s">
        <v>40</v>
      </c>
      <c r="L399" s="10" t="s">
        <v>40</v>
      </c>
      <c r="M399">
        <v>0</v>
      </c>
      <c r="N399">
        <v>0</v>
      </c>
      <c r="O399">
        <v>0</v>
      </c>
      <c r="P399" s="10" t="s">
        <v>44</v>
      </c>
      <c r="Q399" s="10">
        <f t="array" ref="Q399">IFERROR(SUMPRODUCT((N399:P399&gt;0)*(N399:P399))/3, 0)</f>
        <v>0</v>
      </c>
      <c r="R399" s="10"/>
      <c r="S399" s="11" t="str">
        <f t="shared" si="57"/>
        <v/>
      </c>
      <c r="T399" s="7"/>
      <c r="U399" s="7"/>
      <c r="V399" s="7"/>
      <c r="W399" s="7"/>
      <c r="X399" s="7"/>
      <c r="Y399" s="7"/>
      <c r="Z399" s="15"/>
      <c r="AA399" s="15"/>
      <c r="AB399" s="11" t="str">
        <f t="shared" si="58"/>
        <v/>
      </c>
      <c r="AC399" s="11"/>
      <c r="AD399" s="11"/>
      <c r="AE399" s="11"/>
      <c r="AF399" s="11"/>
      <c r="AG399" s="11"/>
      <c r="AH399" s="11"/>
      <c r="AI399" s="11"/>
      <c r="AJ399" s="15"/>
      <c r="AK399" s="15"/>
      <c r="AL399" s="14">
        <f t="shared" si="59"/>
        <v>3</v>
      </c>
      <c r="AM399" s="11">
        <f t="shared" si="60"/>
        <v>3</v>
      </c>
      <c r="AN399" s="14">
        <f t="shared" si="61"/>
        <v>3</v>
      </c>
      <c r="AO399" s="15"/>
      <c r="AP399" s="15"/>
      <c r="AQ399" s="15"/>
    </row>
    <row r="400" spans="1:43" ht="51" hidden="1" x14ac:dyDescent="0.2">
      <c r="A400" s="7">
        <v>399</v>
      </c>
      <c r="B400" s="19" t="s">
        <v>857</v>
      </c>
      <c r="C400" s="19" t="s">
        <v>858</v>
      </c>
      <c r="D400" s="8" t="s">
        <v>34</v>
      </c>
      <c r="E400" s="19" t="s">
        <v>269</v>
      </c>
      <c r="F400" s="8" t="s">
        <v>36</v>
      </c>
      <c r="G400" s="7" t="s">
        <v>59</v>
      </c>
      <c r="H400" s="9" t="s">
        <v>44</v>
      </c>
      <c r="I400" s="10"/>
      <c r="J400" s="10" t="s">
        <v>40</v>
      </c>
      <c r="K400" s="10" t="s">
        <v>40</v>
      </c>
      <c r="L400" s="10" t="s">
        <v>40</v>
      </c>
      <c r="M400">
        <v>0</v>
      </c>
      <c r="N400">
        <v>0</v>
      </c>
      <c r="O400">
        <v>0</v>
      </c>
      <c r="P400" s="10" t="s">
        <v>44</v>
      </c>
      <c r="Q400" s="10">
        <f t="array" ref="Q400">IFERROR(SUMPRODUCT((N400:P400&gt;0)*(N400:P400))/3, 0)</f>
        <v>0</v>
      </c>
      <c r="R400" s="10"/>
      <c r="S400" s="11" t="str">
        <f t="shared" si="57"/>
        <v/>
      </c>
      <c r="T400" s="7"/>
      <c r="U400" s="7"/>
      <c r="V400" s="7"/>
      <c r="W400" s="7"/>
      <c r="X400" s="7"/>
      <c r="Y400" s="7"/>
      <c r="Z400" s="15"/>
      <c r="AA400" s="15"/>
      <c r="AB400" s="11" t="str">
        <f t="shared" si="58"/>
        <v/>
      </c>
      <c r="AC400" s="11"/>
      <c r="AD400" s="11"/>
      <c r="AE400" s="11"/>
      <c r="AF400" s="11"/>
      <c r="AG400" s="11"/>
      <c r="AH400" s="11"/>
      <c r="AI400" s="11"/>
      <c r="AJ400" s="15"/>
      <c r="AK400" s="15"/>
      <c r="AL400" s="14">
        <f t="shared" si="59"/>
        <v>3</v>
      </c>
      <c r="AM400" s="11">
        <f t="shared" si="60"/>
        <v>3</v>
      </c>
      <c r="AN400" s="14">
        <f t="shared" si="61"/>
        <v>3</v>
      </c>
      <c r="AO400" s="15"/>
      <c r="AP400" s="15"/>
      <c r="AQ400" s="15"/>
    </row>
    <row r="401" spans="1:43" ht="51" hidden="1" x14ac:dyDescent="0.2">
      <c r="A401" s="7">
        <v>400</v>
      </c>
      <c r="B401" s="19" t="s">
        <v>859</v>
      </c>
      <c r="C401" s="19" t="s">
        <v>860</v>
      </c>
      <c r="D401" s="8" t="s">
        <v>34</v>
      </c>
      <c r="E401" s="19" t="s">
        <v>269</v>
      </c>
      <c r="F401" s="8" t="s">
        <v>36</v>
      </c>
      <c r="G401" s="7" t="s">
        <v>59</v>
      </c>
      <c r="H401" s="9" t="s">
        <v>44</v>
      </c>
      <c r="I401" s="10"/>
      <c r="J401" s="10" t="s">
        <v>40</v>
      </c>
      <c r="K401" s="10" t="s">
        <v>40</v>
      </c>
      <c r="L401" s="10" t="s">
        <v>40</v>
      </c>
      <c r="M401">
        <v>0</v>
      </c>
      <c r="N401">
        <v>0</v>
      </c>
      <c r="O401">
        <v>0</v>
      </c>
      <c r="P401" s="10" t="s">
        <v>44</v>
      </c>
      <c r="Q401" s="10">
        <f t="array" ref="Q401">IFERROR(SUMPRODUCT((N401:P401&gt;0)*(N401:P401))/3, 0)</f>
        <v>0</v>
      </c>
      <c r="R401" s="10"/>
      <c r="S401" s="11" t="str">
        <f t="shared" si="57"/>
        <v/>
      </c>
      <c r="T401" s="7"/>
      <c r="U401" s="7"/>
      <c r="V401" s="7"/>
      <c r="W401" s="7"/>
      <c r="X401" s="7"/>
      <c r="Y401" s="7"/>
      <c r="Z401" s="15"/>
      <c r="AA401" s="15"/>
      <c r="AB401" s="11" t="str">
        <f t="shared" si="58"/>
        <v/>
      </c>
      <c r="AC401" s="11"/>
      <c r="AD401" s="11"/>
      <c r="AE401" s="11"/>
      <c r="AF401" s="11"/>
      <c r="AG401" s="11"/>
      <c r="AH401" s="11"/>
      <c r="AI401" s="11"/>
      <c r="AJ401" s="15"/>
      <c r="AK401" s="15"/>
      <c r="AL401" s="14">
        <f t="shared" si="59"/>
        <v>3</v>
      </c>
      <c r="AM401" s="11">
        <f t="shared" si="60"/>
        <v>3</v>
      </c>
      <c r="AN401" s="14">
        <f t="shared" si="61"/>
        <v>3</v>
      </c>
      <c r="AO401" s="15"/>
      <c r="AP401" s="15"/>
      <c r="AQ401" s="15"/>
    </row>
    <row r="402" spans="1:43" ht="51" hidden="1" x14ac:dyDescent="0.2">
      <c r="A402" s="7">
        <v>401</v>
      </c>
      <c r="B402" s="19" t="s">
        <v>861</v>
      </c>
      <c r="C402" s="19" t="s">
        <v>862</v>
      </c>
      <c r="D402" s="8" t="s">
        <v>34</v>
      </c>
      <c r="E402" s="19" t="s">
        <v>269</v>
      </c>
      <c r="F402" s="8" t="s">
        <v>36</v>
      </c>
      <c r="G402" s="7" t="s">
        <v>59</v>
      </c>
      <c r="H402" s="9" t="s">
        <v>44</v>
      </c>
      <c r="I402" s="10"/>
      <c r="J402" s="10" t="s">
        <v>40</v>
      </c>
      <c r="K402" s="10" t="s">
        <v>40</v>
      </c>
      <c r="L402" s="10" t="s">
        <v>40</v>
      </c>
      <c r="M402">
        <v>0</v>
      </c>
      <c r="N402">
        <v>0</v>
      </c>
      <c r="O402">
        <v>0</v>
      </c>
      <c r="P402" s="10" t="s">
        <v>44</v>
      </c>
      <c r="Q402" s="10">
        <f t="array" ref="Q402">IFERROR(SUMPRODUCT((N402:P402&gt;0)*(N402:P402))/3, 0)</f>
        <v>0</v>
      </c>
      <c r="R402" s="10"/>
      <c r="S402" s="11" t="str">
        <f t="shared" si="57"/>
        <v/>
      </c>
      <c r="T402" s="7"/>
      <c r="U402" s="7"/>
      <c r="V402" s="7"/>
      <c r="W402" s="7"/>
      <c r="X402" s="7"/>
      <c r="Y402" s="7"/>
      <c r="Z402" s="15"/>
      <c r="AA402" s="15"/>
      <c r="AB402" s="11" t="str">
        <f t="shared" si="58"/>
        <v/>
      </c>
      <c r="AC402" s="11"/>
      <c r="AD402" s="11"/>
      <c r="AE402" s="11"/>
      <c r="AF402" s="11"/>
      <c r="AG402" s="11"/>
      <c r="AH402" s="11"/>
      <c r="AI402" s="11"/>
      <c r="AJ402" s="15"/>
      <c r="AK402" s="15"/>
      <c r="AL402" s="14">
        <f t="shared" si="59"/>
        <v>3</v>
      </c>
      <c r="AM402" s="11">
        <f t="shared" si="60"/>
        <v>3</v>
      </c>
      <c r="AN402" s="14">
        <f t="shared" si="61"/>
        <v>3</v>
      </c>
      <c r="AO402" s="15"/>
      <c r="AP402" s="15"/>
      <c r="AQ402" s="15"/>
    </row>
    <row r="403" spans="1:43" ht="34" hidden="1" x14ac:dyDescent="0.2">
      <c r="A403" s="7">
        <v>402</v>
      </c>
      <c r="B403" s="19" t="s">
        <v>863</v>
      </c>
      <c r="C403" s="19" t="s">
        <v>864</v>
      </c>
      <c r="D403" s="8" t="s">
        <v>34</v>
      </c>
      <c r="E403" s="19" t="s">
        <v>269</v>
      </c>
      <c r="F403" s="8" t="s">
        <v>36</v>
      </c>
      <c r="G403" s="7" t="s">
        <v>59</v>
      </c>
      <c r="H403" s="9" t="s">
        <v>44</v>
      </c>
      <c r="I403" s="10"/>
      <c r="J403" s="10" t="s">
        <v>40</v>
      </c>
      <c r="K403" s="10" t="s">
        <v>40</v>
      </c>
      <c r="L403" s="10" t="s">
        <v>40</v>
      </c>
      <c r="M403">
        <v>0</v>
      </c>
      <c r="N403">
        <v>0</v>
      </c>
      <c r="O403">
        <v>0</v>
      </c>
      <c r="P403" s="10" t="s">
        <v>44</v>
      </c>
      <c r="Q403" s="10">
        <f t="array" ref="Q403">IFERROR(SUMPRODUCT((N403:P403&gt;0)*(N403:P403))/3, 0)</f>
        <v>0</v>
      </c>
      <c r="R403" s="10"/>
      <c r="S403" s="11" t="str">
        <f t="shared" si="57"/>
        <v/>
      </c>
      <c r="T403" s="7"/>
      <c r="U403" s="7"/>
      <c r="V403" s="7"/>
      <c r="W403" s="7"/>
      <c r="X403" s="7"/>
      <c r="Y403" s="7"/>
      <c r="Z403" s="15"/>
      <c r="AA403" s="15"/>
      <c r="AB403" s="11" t="str">
        <f t="shared" si="58"/>
        <v/>
      </c>
      <c r="AC403" s="11"/>
      <c r="AD403" s="11"/>
      <c r="AE403" s="11"/>
      <c r="AF403" s="11"/>
      <c r="AG403" s="11"/>
      <c r="AH403" s="11"/>
      <c r="AI403" s="11"/>
      <c r="AJ403" s="15"/>
      <c r="AK403" s="15"/>
      <c r="AL403" s="14">
        <f t="shared" si="59"/>
        <v>3</v>
      </c>
      <c r="AM403" s="11">
        <f t="shared" si="60"/>
        <v>3</v>
      </c>
      <c r="AN403" s="14">
        <f t="shared" si="61"/>
        <v>3</v>
      </c>
      <c r="AO403" s="15"/>
      <c r="AP403" s="15"/>
      <c r="AQ403" s="15"/>
    </row>
    <row r="404" spans="1:43" ht="34" hidden="1" x14ac:dyDescent="0.2">
      <c r="A404" s="7">
        <v>403</v>
      </c>
      <c r="B404" s="19" t="s">
        <v>865</v>
      </c>
      <c r="C404" s="19" t="s">
        <v>866</v>
      </c>
      <c r="D404" s="8" t="s">
        <v>34</v>
      </c>
      <c r="E404" s="19" t="s">
        <v>269</v>
      </c>
      <c r="F404" s="8" t="s">
        <v>36</v>
      </c>
      <c r="G404" s="7" t="s">
        <v>59</v>
      </c>
      <c r="H404" s="9" t="s">
        <v>44</v>
      </c>
      <c r="I404" s="10"/>
      <c r="J404" s="10" t="s">
        <v>40</v>
      </c>
      <c r="K404" s="10" t="s">
        <v>40</v>
      </c>
      <c r="L404" s="10" t="s">
        <v>40</v>
      </c>
      <c r="M404">
        <v>0</v>
      </c>
      <c r="N404">
        <v>0</v>
      </c>
      <c r="O404">
        <v>0</v>
      </c>
      <c r="P404" s="10" t="s">
        <v>44</v>
      </c>
      <c r="Q404" s="10">
        <f t="array" ref="Q404">IFERROR(SUMPRODUCT((N404:P404&gt;0)*(N404:P404))/3, 0)</f>
        <v>0</v>
      </c>
      <c r="R404" s="10"/>
      <c r="S404" s="11" t="str">
        <f t="shared" si="57"/>
        <v/>
      </c>
      <c r="T404" s="7"/>
      <c r="U404" s="7"/>
      <c r="V404" s="7"/>
      <c r="W404" s="7"/>
      <c r="X404" s="7"/>
      <c r="Y404" s="7"/>
      <c r="Z404" s="15"/>
      <c r="AA404" s="15"/>
      <c r="AB404" s="11" t="str">
        <f t="shared" si="58"/>
        <v/>
      </c>
      <c r="AC404" s="11"/>
      <c r="AD404" s="11"/>
      <c r="AE404" s="11"/>
      <c r="AF404" s="11"/>
      <c r="AG404" s="11"/>
      <c r="AH404" s="11"/>
      <c r="AI404" s="11"/>
      <c r="AJ404" s="15"/>
      <c r="AK404" s="15"/>
      <c r="AL404" s="14">
        <f t="shared" si="59"/>
        <v>3</v>
      </c>
      <c r="AM404" s="11">
        <f t="shared" si="60"/>
        <v>3</v>
      </c>
      <c r="AN404" s="14">
        <f t="shared" si="61"/>
        <v>3</v>
      </c>
      <c r="AO404" s="15"/>
      <c r="AP404" s="15"/>
      <c r="AQ404" s="15"/>
    </row>
    <row r="405" spans="1:43" ht="51" hidden="1" x14ac:dyDescent="0.2">
      <c r="A405" s="7">
        <v>404</v>
      </c>
      <c r="B405" s="19" t="s">
        <v>867</v>
      </c>
      <c r="C405" s="19" t="s">
        <v>868</v>
      </c>
      <c r="D405" s="8" t="s">
        <v>34</v>
      </c>
      <c r="E405" s="19" t="s">
        <v>269</v>
      </c>
      <c r="F405" s="8" t="s">
        <v>36</v>
      </c>
      <c r="G405" s="7" t="s">
        <v>59</v>
      </c>
      <c r="H405" s="9" t="s">
        <v>44</v>
      </c>
      <c r="I405" s="10"/>
      <c r="J405" s="10" t="s">
        <v>40</v>
      </c>
      <c r="K405" s="10" t="s">
        <v>40</v>
      </c>
      <c r="L405" s="10" t="s">
        <v>40</v>
      </c>
      <c r="M405">
        <v>0</v>
      </c>
      <c r="N405">
        <v>0</v>
      </c>
      <c r="O405">
        <v>0</v>
      </c>
      <c r="P405" s="10" t="s">
        <v>44</v>
      </c>
      <c r="Q405" s="10">
        <f t="array" ref="Q405">IFERROR(SUMPRODUCT((N405:P405&gt;0)*(N405:P405))/3, 0)</f>
        <v>0</v>
      </c>
      <c r="R405" s="10"/>
      <c r="S405" s="11" t="str">
        <f t="shared" si="57"/>
        <v/>
      </c>
      <c r="T405" s="7"/>
      <c r="U405" s="7"/>
      <c r="V405" s="7"/>
      <c r="W405" s="7"/>
      <c r="X405" s="7"/>
      <c r="Y405" s="7"/>
      <c r="Z405" s="15"/>
      <c r="AA405" s="15"/>
      <c r="AB405" s="11" t="str">
        <f t="shared" si="58"/>
        <v/>
      </c>
      <c r="AC405" s="11"/>
      <c r="AD405" s="11"/>
      <c r="AE405" s="11"/>
      <c r="AF405" s="11"/>
      <c r="AG405" s="11"/>
      <c r="AH405" s="11"/>
      <c r="AI405" s="11"/>
      <c r="AJ405" s="15"/>
      <c r="AK405" s="15"/>
      <c r="AL405" s="14">
        <f t="shared" si="59"/>
        <v>3</v>
      </c>
      <c r="AM405" s="11">
        <f t="shared" si="60"/>
        <v>3</v>
      </c>
      <c r="AN405" s="14">
        <f t="shared" si="61"/>
        <v>3</v>
      </c>
      <c r="AO405" s="15"/>
      <c r="AP405" s="15"/>
      <c r="AQ405" s="15"/>
    </row>
    <row r="406" spans="1:43" ht="51" hidden="1" x14ac:dyDescent="0.2">
      <c r="A406" s="7">
        <v>405</v>
      </c>
      <c r="B406" s="19" t="s">
        <v>869</v>
      </c>
      <c r="C406" s="19" t="s">
        <v>870</v>
      </c>
      <c r="D406" s="8" t="s">
        <v>34</v>
      </c>
      <c r="E406" s="19" t="s">
        <v>269</v>
      </c>
      <c r="F406" s="8" t="s">
        <v>36</v>
      </c>
      <c r="G406" s="7" t="s">
        <v>59</v>
      </c>
      <c r="H406" s="9" t="s">
        <v>44</v>
      </c>
      <c r="I406" s="10"/>
      <c r="J406" s="10" t="s">
        <v>40</v>
      </c>
      <c r="K406" s="10" t="s">
        <v>40</v>
      </c>
      <c r="L406" s="10" t="s">
        <v>40</v>
      </c>
      <c r="M406">
        <v>0</v>
      </c>
      <c r="N406">
        <v>0</v>
      </c>
      <c r="O406">
        <v>0</v>
      </c>
      <c r="P406" s="10" t="s">
        <v>44</v>
      </c>
      <c r="Q406" s="10">
        <f t="array" ref="Q406">IFERROR(SUMPRODUCT((N406:P406&gt;0)*(N406:P406))/3, 0)</f>
        <v>0</v>
      </c>
      <c r="R406" s="10"/>
      <c r="S406" s="11" t="str">
        <f t="shared" si="57"/>
        <v/>
      </c>
      <c r="T406" s="7"/>
      <c r="U406" s="7"/>
      <c r="V406" s="7"/>
      <c r="W406" s="7"/>
      <c r="X406" s="7"/>
      <c r="Y406" s="7"/>
      <c r="Z406" s="15"/>
      <c r="AA406" s="15"/>
      <c r="AB406" s="11" t="str">
        <f t="shared" si="58"/>
        <v/>
      </c>
      <c r="AC406" s="11"/>
      <c r="AD406" s="11"/>
      <c r="AE406" s="11"/>
      <c r="AF406" s="11"/>
      <c r="AG406" s="11"/>
      <c r="AH406" s="11"/>
      <c r="AI406" s="11"/>
      <c r="AJ406" s="15"/>
      <c r="AK406" s="15"/>
      <c r="AL406" s="14">
        <f t="shared" si="59"/>
        <v>3</v>
      </c>
      <c r="AM406" s="11">
        <f t="shared" si="60"/>
        <v>3</v>
      </c>
      <c r="AN406" s="14">
        <f t="shared" si="61"/>
        <v>3</v>
      </c>
      <c r="AO406" s="15"/>
      <c r="AP406" s="15"/>
      <c r="AQ406" s="15"/>
    </row>
    <row r="407" spans="1:43" ht="51" hidden="1" x14ac:dyDescent="0.2">
      <c r="A407" s="7">
        <v>406</v>
      </c>
      <c r="B407" s="19" t="s">
        <v>871</v>
      </c>
      <c r="C407" s="19" t="s">
        <v>872</v>
      </c>
      <c r="D407" s="8" t="s">
        <v>34</v>
      </c>
      <c r="E407" s="19" t="s">
        <v>269</v>
      </c>
      <c r="F407" s="8" t="s">
        <v>36</v>
      </c>
      <c r="G407" s="7" t="s">
        <v>59</v>
      </c>
      <c r="H407" s="9" t="s">
        <v>44</v>
      </c>
      <c r="I407" s="10"/>
      <c r="J407" s="10" t="s">
        <v>40</v>
      </c>
      <c r="K407" s="10" t="s">
        <v>40</v>
      </c>
      <c r="L407" s="10" t="s">
        <v>40</v>
      </c>
      <c r="M407">
        <v>0</v>
      </c>
      <c r="N407">
        <v>0</v>
      </c>
      <c r="O407">
        <v>0</v>
      </c>
      <c r="P407" s="10" t="s">
        <v>44</v>
      </c>
      <c r="Q407" s="10">
        <f t="array" ref="Q407">IFERROR(SUMPRODUCT((N407:P407&gt;0)*(N407:P407))/3, 0)</f>
        <v>0</v>
      </c>
      <c r="R407" s="10"/>
      <c r="S407" s="11" t="str">
        <f t="shared" si="57"/>
        <v/>
      </c>
      <c r="T407" s="7"/>
      <c r="U407" s="7"/>
      <c r="V407" s="7"/>
      <c r="W407" s="7"/>
      <c r="X407" s="7"/>
      <c r="Y407" s="7"/>
      <c r="Z407" s="15"/>
      <c r="AA407" s="15"/>
      <c r="AB407" s="11" t="str">
        <f t="shared" si="58"/>
        <v/>
      </c>
      <c r="AC407" s="11"/>
      <c r="AD407" s="11"/>
      <c r="AE407" s="11"/>
      <c r="AF407" s="11"/>
      <c r="AG407" s="11"/>
      <c r="AH407" s="11"/>
      <c r="AI407" s="11"/>
      <c r="AJ407" s="15"/>
      <c r="AK407" s="15"/>
      <c r="AL407" s="14">
        <f t="shared" si="59"/>
        <v>3</v>
      </c>
      <c r="AM407" s="11">
        <f t="shared" si="60"/>
        <v>3</v>
      </c>
      <c r="AN407" s="14">
        <f t="shared" si="61"/>
        <v>3</v>
      </c>
      <c r="AO407" s="15"/>
      <c r="AP407" s="15"/>
      <c r="AQ407" s="15"/>
    </row>
    <row r="408" spans="1:43" ht="34" hidden="1" x14ac:dyDescent="0.2">
      <c r="A408" s="7">
        <v>407</v>
      </c>
      <c r="B408" s="19" t="s">
        <v>873</v>
      </c>
      <c r="C408" s="19" t="s">
        <v>874</v>
      </c>
      <c r="D408" s="8" t="s">
        <v>34</v>
      </c>
      <c r="E408" s="19" t="s">
        <v>269</v>
      </c>
      <c r="F408" s="8" t="s">
        <v>36</v>
      </c>
      <c r="G408" s="7" t="s">
        <v>59</v>
      </c>
      <c r="H408" s="9" t="s">
        <v>44</v>
      </c>
      <c r="I408" s="10"/>
      <c r="J408" s="10" t="s">
        <v>40</v>
      </c>
      <c r="K408" s="10" t="s">
        <v>40</v>
      </c>
      <c r="L408" s="10" t="s">
        <v>40</v>
      </c>
      <c r="M408">
        <v>0</v>
      </c>
      <c r="N408">
        <v>0</v>
      </c>
      <c r="O408">
        <v>0</v>
      </c>
      <c r="P408" s="10" t="s">
        <v>44</v>
      </c>
      <c r="Q408" s="10">
        <f t="array" ref="Q408">IFERROR(SUMPRODUCT((N408:P408&gt;0)*(N408:P408))/3, 0)</f>
        <v>0</v>
      </c>
      <c r="R408" s="10"/>
      <c r="S408" s="11" t="str">
        <f t="shared" si="57"/>
        <v/>
      </c>
      <c r="T408" s="7"/>
      <c r="U408" s="7"/>
      <c r="V408" s="7"/>
      <c r="W408" s="7"/>
      <c r="X408" s="7"/>
      <c r="Y408" s="7"/>
      <c r="Z408" s="15"/>
      <c r="AA408" s="15"/>
      <c r="AB408" s="11" t="str">
        <f t="shared" si="58"/>
        <v/>
      </c>
      <c r="AC408" s="11"/>
      <c r="AD408" s="11"/>
      <c r="AE408" s="11"/>
      <c r="AF408" s="11"/>
      <c r="AG408" s="11"/>
      <c r="AH408" s="11"/>
      <c r="AI408" s="11"/>
      <c r="AJ408" s="15"/>
      <c r="AK408" s="15"/>
      <c r="AL408" s="14">
        <f t="shared" si="59"/>
        <v>3</v>
      </c>
      <c r="AM408" s="11">
        <f t="shared" si="60"/>
        <v>3</v>
      </c>
      <c r="AN408" s="14">
        <f t="shared" si="61"/>
        <v>3</v>
      </c>
      <c r="AO408" s="15"/>
      <c r="AP408" s="15"/>
      <c r="AQ408" s="15"/>
    </row>
    <row r="409" spans="1:43" ht="34" hidden="1" x14ac:dyDescent="0.2">
      <c r="A409" s="7">
        <v>408</v>
      </c>
      <c r="B409" s="19" t="s">
        <v>875</v>
      </c>
      <c r="C409" s="19" t="s">
        <v>876</v>
      </c>
      <c r="D409" s="8" t="s">
        <v>34</v>
      </c>
      <c r="E409" s="19" t="s">
        <v>269</v>
      </c>
      <c r="F409" s="8" t="s">
        <v>36</v>
      </c>
      <c r="G409" s="7" t="s">
        <v>59</v>
      </c>
      <c r="H409" s="9" t="s">
        <v>44</v>
      </c>
      <c r="I409" s="10"/>
      <c r="J409" s="10" t="s">
        <v>40</v>
      </c>
      <c r="K409" s="10" t="s">
        <v>40</v>
      </c>
      <c r="L409" s="10" t="s">
        <v>40</v>
      </c>
      <c r="M409">
        <v>0</v>
      </c>
      <c r="N409">
        <v>0</v>
      </c>
      <c r="O409">
        <v>0</v>
      </c>
      <c r="P409" s="10" t="s">
        <v>44</v>
      </c>
      <c r="Q409" s="10">
        <f t="array" ref="Q409">IFERROR(SUMPRODUCT((N409:P409&gt;0)*(N409:P409))/3, 0)</f>
        <v>0</v>
      </c>
      <c r="R409" s="10"/>
      <c r="S409" s="11" t="str">
        <f t="shared" si="57"/>
        <v/>
      </c>
      <c r="T409" s="7"/>
      <c r="U409" s="7"/>
      <c r="V409" s="7"/>
      <c r="W409" s="7"/>
      <c r="X409" s="7"/>
      <c r="Y409" s="7"/>
      <c r="Z409" s="15"/>
      <c r="AA409" s="15"/>
      <c r="AB409" s="11" t="str">
        <f t="shared" si="58"/>
        <v/>
      </c>
      <c r="AC409" s="11"/>
      <c r="AD409" s="11"/>
      <c r="AE409" s="11"/>
      <c r="AF409" s="11"/>
      <c r="AG409" s="11"/>
      <c r="AH409" s="11"/>
      <c r="AI409" s="11"/>
      <c r="AJ409" s="15"/>
      <c r="AK409" s="15"/>
      <c r="AL409" s="14">
        <f t="shared" si="59"/>
        <v>3</v>
      </c>
      <c r="AM409" s="11">
        <f t="shared" si="60"/>
        <v>3</v>
      </c>
      <c r="AN409" s="14">
        <f t="shared" si="61"/>
        <v>3</v>
      </c>
      <c r="AO409" s="15"/>
      <c r="AP409" s="15"/>
      <c r="AQ409" s="15"/>
    </row>
    <row r="410" spans="1:43" ht="51" hidden="1" x14ac:dyDescent="0.2">
      <c r="A410" s="7">
        <v>409</v>
      </c>
      <c r="B410" s="19" t="s">
        <v>877</v>
      </c>
      <c r="C410" s="19" t="s">
        <v>878</v>
      </c>
      <c r="D410" s="8" t="s">
        <v>34</v>
      </c>
      <c r="E410" s="19" t="s">
        <v>269</v>
      </c>
      <c r="F410" s="8" t="s">
        <v>36</v>
      </c>
      <c r="G410" s="7" t="s">
        <v>59</v>
      </c>
      <c r="H410" s="9" t="s">
        <v>44</v>
      </c>
      <c r="I410" s="10"/>
      <c r="J410" s="10" t="s">
        <v>40</v>
      </c>
      <c r="K410" s="10" t="s">
        <v>40</v>
      </c>
      <c r="L410" s="10" t="s">
        <v>40</v>
      </c>
      <c r="M410">
        <v>0</v>
      </c>
      <c r="N410">
        <v>0</v>
      </c>
      <c r="O410">
        <v>0</v>
      </c>
      <c r="P410" s="10" t="s">
        <v>44</v>
      </c>
      <c r="Q410" s="10">
        <f t="array" ref="Q410">IFERROR(SUMPRODUCT((N410:P410&gt;0)*(N410:P410))/3, 0)</f>
        <v>0</v>
      </c>
      <c r="R410" s="10"/>
      <c r="S410" s="11" t="str">
        <f t="shared" si="57"/>
        <v/>
      </c>
      <c r="T410" s="7"/>
      <c r="U410" s="7"/>
      <c r="V410" s="7"/>
      <c r="W410" s="7"/>
      <c r="X410" s="7"/>
      <c r="Y410" s="7"/>
      <c r="Z410" s="15"/>
      <c r="AA410" s="15"/>
      <c r="AB410" s="11" t="str">
        <f t="shared" si="58"/>
        <v/>
      </c>
      <c r="AC410" s="11"/>
      <c r="AD410" s="11"/>
      <c r="AE410" s="11"/>
      <c r="AF410" s="11"/>
      <c r="AG410" s="11"/>
      <c r="AH410" s="11"/>
      <c r="AI410" s="11"/>
      <c r="AJ410" s="15"/>
      <c r="AK410" s="15"/>
      <c r="AL410" s="14">
        <f t="shared" si="59"/>
        <v>3</v>
      </c>
      <c r="AM410" s="11">
        <f t="shared" si="60"/>
        <v>3</v>
      </c>
      <c r="AN410" s="14">
        <f t="shared" si="61"/>
        <v>3</v>
      </c>
      <c r="AO410" s="15"/>
      <c r="AP410" s="15"/>
      <c r="AQ410" s="15"/>
    </row>
    <row r="411" spans="1:43" ht="51" hidden="1" x14ac:dyDescent="0.2">
      <c r="A411" s="7">
        <v>410</v>
      </c>
      <c r="B411" s="19" t="s">
        <v>879</v>
      </c>
      <c r="C411" s="19" t="s">
        <v>880</v>
      </c>
      <c r="D411" s="8" t="s">
        <v>34</v>
      </c>
      <c r="E411" s="19" t="s">
        <v>269</v>
      </c>
      <c r="F411" s="8" t="s">
        <v>36</v>
      </c>
      <c r="G411" s="7" t="s">
        <v>59</v>
      </c>
      <c r="H411" s="9" t="s">
        <v>44</v>
      </c>
      <c r="I411" s="10"/>
      <c r="J411" s="10" t="s">
        <v>40</v>
      </c>
      <c r="K411" s="10" t="s">
        <v>40</v>
      </c>
      <c r="L411" s="10" t="s">
        <v>40</v>
      </c>
      <c r="M411">
        <v>0</v>
      </c>
      <c r="N411">
        <v>0</v>
      </c>
      <c r="O411">
        <v>0</v>
      </c>
      <c r="P411" s="10" t="s">
        <v>44</v>
      </c>
      <c r="Q411" s="10">
        <f t="array" ref="Q411">IFERROR(SUMPRODUCT((N411:P411&gt;0)*(N411:P411))/3, 0)</f>
        <v>0</v>
      </c>
      <c r="R411" s="10"/>
      <c r="S411" s="11" t="str">
        <f t="shared" si="57"/>
        <v/>
      </c>
      <c r="T411" s="7"/>
      <c r="U411" s="7"/>
      <c r="V411" s="7"/>
      <c r="W411" s="7"/>
      <c r="X411" s="7"/>
      <c r="Y411" s="7"/>
      <c r="Z411" s="15"/>
      <c r="AA411" s="15"/>
      <c r="AB411" s="11" t="str">
        <f t="shared" si="58"/>
        <v/>
      </c>
      <c r="AC411" s="11"/>
      <c r="AD411" s="11"/>
      <c r="AE411" s="11"/>
      <c r="AF411" s="11"/>
      <c r="AG411" s="11"/>
      <c r="AH411" s="11"/>
      <c r="AI411" s="11"/>
      <c r="AJ411" s="15"/>
      <c r="AK411" s="15"/>
      <c r="AL411" s="14">
        <f t="shared" si="59"/>
        <v>3</v>
      </c>
      <c r="AM411" s="11">
        <f t="shared" si="60"/>
        <v>3</v>
      </c>
      <c r="AN411" s="14">
        <f t="shared" si="61"/>
        <v>3</v>
      </c>
      <c r="AO411" s="15"/>
      <c r="AP411" s="15"/>
      <c r="AQ411" s="15"/>
    </row>
    <row r="412" spans="1:43" ht="34" hidden="1" x14ac:dyDescent="0.2">
      <c r="A412" s="7">
        <v>411</v>
      </c>
      <c r="B412" s="19" t="s">
        <v>881</v>
      </c>
      <c r="C412" s="19" t="s">
        <v>882</v>
      </c>
      <c r="D412" s="8" t="s">
        <v>34</v>
      </c>
      <c r="E412" s="19" t="s">
        <v>269</v>
      </c>
      <c r="F412" s="8" t="s">
        <v>36</v>
      </c>
      <c r="G412" s="7" t="s">
        <v>59</v>
      </c>
      <c r="H412" s="9" t="s">
        <v>44</v>
      </c>
      <c r="I412" s="10"/>
      <c r="J412" s="10" t="s">
        <v>40</v>
      </c>
      <c r="K412" s="10" t="s">
        <v>40</v>
      </c>
      <c r="L412" s="10" t="s">
        <v>40</v>
      </c>
      <c r="M412">
        <v>0</v>
      </c>
      <c r="N412">
        <v>0</v>
      </c>
      <c r="O412">
        <v>0</v>
      </c>
      <c r="P412" s="10" t="s">
        <v>44</v>
      </c>
      <c r="Q412" s="10">
        <f t="array" ref="Q412">IFERROR(SUMPRODUCT((N412:P412&gt;0)*(N412:P412))/3, 0)</f>
        <v>0</v>
      </c>
      <c r="R412" s="10"/>
      <c r="S412" s="11" t="str">
        <f t="shared" si="57"/>
        <v/>
      </c>
      <c r="T412" s="7"/>
      <c r="U412" s="7"/>
      <c r="V412" s="7"/>
      <c r="W412" s="7"/>
      <c r="X412" s="7"/>
      <c r="Y412" s="7"/>
      <c r="Z412" s="15"/>
      <c r="AA412" s="15"/>
      <c r="AB412" s="11" t="str">
        <f t="shared" si="58"/>
        <v/>
      </c>
      <c r="AC412" s="11"/>
      <c r="AD412" s="11"/>
      <c r="AE412" s="11"/>
      <c r="AF412" s="11"/>
      <c r="AG412" s="11"/>
      <c r="AH412" s="11"/>
      <c r="AI412" s="11"/>
      <c r="AJ412" s="15"/>
      <c r="AK412" s="15"/>
      <c r="AL412" s="14">
        <f t="shared" si="59"/>
        <v>3</v>
      </c>
      <c r="AM412" s="11">
        <f t="shared" si="60"/>
        <v>3</v>
      </c>
      <c r="AN412" s="14">
        <f t="shared" si="61"/>
        <v>3</v>
      </c>
      <c r="AO412" s="15"/>
      <c r="AP412" s="15"/>
      <c r="AQ412" s="15"/>
    </row>
    <row r="413" spans="1:43" ht="51" hidden="1" x14ac:dyDescent="0.2">
      <c r="A413" s="7">
        <v>412</v>
      </c>
      <c r="B413" s="19" t="s">
        <v>883</v>
      </c>
      <c r="C413" s="19" t="s">
        <v>884</v>
      </c>
      <c r="D413" s="8" t="s">
        <v>34</v>
      </c>
      <c r="E413" s="19" t="s">
        <v>269</v>
      </c>
      <c r="F413" s="8" t="s">
        <v>36</v>
      </c>
      <c r="G413" s="7" t="s">
        <v>59</v>
      </c>
      <c r="H413" s="9" t="s">
        <v>44</v>
      </c>
      <c r="I413" s="10"/>
      <c r="J413" s="10" t="s">
        <v>40</v>
      </c>
      <c r="K413" s="10" t="s">
        <v>40</v>
      </c>
      <c r="L413" s="10" t="s">
        <v>40</v>
      </c>
      <c r="M413">
        <v>0</v>
      </c>
      <c r="N413">
        <v>0</v>
      </c>
      <c r="O413">
        <v>0</v>
      </c>
      <c r="P413" s="10" t="s">
        <v>44</v>
      </c>
      <c r="Q413" s="10">
        <f t="array" ref="Q413">IFERROR(SUMPRODUCT((N413:P413&gt;0)*(N413:P413))/3, 0)</f>
        <v>0</v>
      </c>
      <c r="R413" s="10"/>
      <c r="S413" s="11" t="str">
        <f t="shared" si="57"/>
        <v/>
      </c>
      <c r="T413" s="7"/>
      <c r="U413" s="7"/>
      <c r="V413" s="7"/>
      <c r="W413" s="7"/>
      <c r="X413" s="7"/>
      <c r="Y413" s="7"/>
      <c r="Z413" s="15"/>
      <c r="AA413" s="15"/>
      <c r="AB413" s="11" t="str">
        <f t="shared" si="58"/>
        <v/>
      </c>
      <c r="AC413" s="11"/>
      <c r="AD413" s="11"/>
      <c r="AE413" s="11"/>
      <c r="AF413" s="11"/>
      <c r="AG413" s="11"/>
      <c r="AH413" s="11"/>
      <c r="AI413" s="11"/>
      <c r="AJ413" s="15"/>
      <c r="AK413" s="15"/>
      <c r="AL413" s="14">
        <f t="shared" si="59"/>
        <v>3</v>
      </c>
      <c r="AM413" s="11">
        <f t="shared" si="60"/>
        <v>3</v>
      </c>
      <c r="AN413" s="14">
        <f t="shared" si="61"/>
        <v>3</v>
      </c>
      <c r="AO413" s="15"/>
      <c r="AP413" s="15"/>
      <c r="AQ413" s="15"/>
    </row>
    <row r="414" spans="1:43" ht="34" hidden="1" x14ac:dyDescent="0.2">
      <c r="A414" s="7">
        <v>413</v>
      </c>
      <c r="B414" s="19" t="s">
        <v>885</v>
      </c>
      <c r="C414" s="19" t="s">
        <v>886</v>
      </c>
      <c r="D414" s="8" t="s">
        <v>34</v>
      </c>
      <c r="E414" s="19" t="s">
        <v>269</v>
      </c>
      <c r="F414" s="8" t="s">
        <v>36</v>
      </c>
      <c r="G414" s="7" t="s">
        <v>59</v>
      </c>
      <c r="H414" s="9" t="s">
        <v>44</v>
      </c>
      <c r="I414" s="10"/>
      <c r="J414" s="10" t="s">
        <v>40</v>
      </c>
      <c r="K414" s="10" t="s">
        <v>40</v>
      </c>
      <c r="L414" s="10" t="s">
        <v>40</v>
      </c>
      <c r="M414">
        <v>0</v>
      </c>
      <c r="N414">
        <v>0</v>
      </c>
      <c r="O414">
        <v>0</v>
      </c>
      <c r="P414" s="10" t="s">
        <v>44</v>
      </c>
      <c r="Q414" s="10">
        <f t="array" ref="Q414">IFERROR(SUMPRODUCT((N414:P414&gt;0)*(N414:P414))/3, 0)</f>
        <v>0</v>
      </c>
      <c r="R414" s="10"/>
      <c r="S414" s="11" t="str">
        <f t="shared" si="57"/>
        <v/>
      </c>
      <c r="T414" s="7"/>
      <c r="U414" s="7"/>
      <c r="V414" s="7"/>
      <c r="W414" s="7"/>
      <c r="X414" s="7"/>
      <c r="Y414" s="7"/>
      <c r="Z414" s="15"/>
      <c r="AA414" s="15"/>
      <c r="AB414" s="11" t="str">
        <f t="shared" si="58"/>
        <v/>
      </c>
      <c r="AC414" s="11"/>
      <c r="AD414" s="11"/>
      <c r="AE414" s="11"/>
      <c r="AF414" s="11"/>
      <c r="AG414" s="11"/>
      <c r="AH414" s="11"/>
      <c r="AI414" s="11"/>
      <c r="AJ414" s="15"/>
      <c r="AK414" s="15"/>
      <c r="AL414" s="14">
        <f t="shared" si="59"/>
        <v>3</v>
      </c>
      <c r="AM414" s="11">
        <f t="shared" si="60"/>
        <v>3</v>
      </c>
      <c r="AN414" s="14">
        <f t="shared" si="61"/>
        <v>3</v>
      </c>
      <c r="AO414" s="15"/>
      <c r="AP414" s="15"/>
      <c r="AQ414" s="15"/>
    </row>
    <row r="415" spans="1:43" ht="51" hidden="1" x14ac:dyDescent="0.2">
      <c r="A415" s="7">
        <v>414</v>
      </c>
      <c r="B415" s="19" t="s">
        <v>887</v>
      </c>
      <c r="C415" s="19" t="s">
        <v>888</v>
      </c>
      <c r="D415" s="8" t="s">
        <v>34</v>
      </c>
      <c r="E415" s="19" t="s">
        <v>269</v>
      </c>
      <c r="F415" s="8" t="s">
        <v>36</v>
      </c>
      <c r="G415" s="7" t="s">
        <v>59</v>
      </c>
      <c r="H415" s="9" t="s">
        <v>44</v>
      </c>
      <c r="I415" s="10"/>
      <c r="J415" s="10" t="s">
        <v>40</v>
      </c>
      <c r="K415" s="10" t="s">
        <v>40</v>
      </c>
      <c r="L415" s="10" t="s">
        <v>40</v>
      </c>
      <c r="M415">
        <v>0</v>
      </c>
      <c r="N415">
        <v>0</v>
      </c>
      <c r="O415">
        <v>0</v>
      </c>
      <c r="P415" s="10" t="s">
        <v>44</v>
      </c>
      <c r="Q415" s="10">
        <f t="array" ref="Q415">IFERROR(SUMPRODUCT((N415:P415&gt;0)*(N415:P415))/3, 0)</f>
        <v>0</v>
      </c>
      <c r="R415" s="10"/>
      <c r="S415" s="11" t="str">
        <f t="shared" si="57"/>
        <v/>
      </c>
      <c r="T415" s="7"/>
      <c r="U415" s="7"/>
      <c r="V415" s="7"/>
      <c r="W415" s="7"/>
      <c r="X415" s="7"/>
      <c r="Y415" s="7"/>
      <c r="Z415" s="15"/>
      <c r="AA415" s="15"/>
      <c r="AB415" s="11" t="str">
        <f t="shared" si="58"/>
        <v/>
      </c>
      <c r="AC415" s="11"/>
      <c r="AD415" s="11"/>
      <c r="AE415" s="11"/>
      <c r="AF415" s="11"/>
      <c r="AG415" s="11"/>
      <c r="AH415" s="11"/>
      <c r="AI415" s="11"/>
      <c r="AJ415" s="15"/>
      <c r="AK415" s="15"/>
      <c r="AL415" s="14">
        <f t="shared" si="59"/>
        <v>3</v>
      </c>
      <c r="AM415" s="11">
        <f t="shared" si="60"/>
        <v>3</v>
      </c>
      <c r="AN415" s="14">
        <f t="shared" si="61"/>
        <v>3</v>
      </c>
      <c r="AO415" s="15"/>
      <c r="AP415" s="15"/>
      <c r="AQ415" s="15"/>
    </row>
    <row r="416" spans="1:43" ht="34" hidden="1" x14ac:dyDescent="0.2">
      <c r="A416" s="7">
        <v>415</v>
      </c>
      <c r="B416" s="19" t="s">
        <v>889</v>
      </c>
      <c r="C416" s="19" t="s">
        <v>890</v>
      </c>
      <c r="D416" s="8" t="s">
        <v>34</v>
      </c>
      <c r="E416" s="19" t="s">
        <v>269</v>
      </c>
      <c r="F416" s="8" t="s">
        <v>36</v>
      </c>
      <c r="G416" s="7" t="s">
        <v>59</v>
      </c>
      <c r="H416" s="9" t="s">
        <v>44</v>
      </c>
      <c r="I416" s="10"/>
      <c r="J416" s="10" t="s">
        <v>40</v>
      </c>
      <c r="K416" s="10" t="s">
        <v>40</v>
      </c>
      <c r="L416" s="10" t="s">
        <v>40</v>
      </c>
      <c r="M416">
        <v>0</v>
      </c>
      <c r="N416">
        <v>0</v>
      </c>
      <c r="O416">
        <v>0</v>
      </c>
      <c r="P416" s="10" t="s">
        <v>44</v>
      </c>
      <c r="Q416" s="10">
        <f t="array" ref="Q416">IFERROR(SUMPRODUCT((N416:P416&gt;0)*(N416:P416))/3, 0)</f>
        <v>0</v>
      </c>
      <c r="R416" s="10"/>
      <c r="S416" s="11" t="str">
        <f t="shared" si="57"/>
        <v/>
      </c>
      <c r="T416" s="7"/>
      <c r="U416" s="7"/>
      <c r="V416" s="7"/>
      <c r="W416" s="7"/>
      <c r="X416" s="7"/>
      <c r="Y416" s="7"/>
      <c r="Z416" s="15"/>
      <c r="AA416" s="15"/>
      <c r="AB416" s="11" t="str">
        <f t="shared" si="58"/>
        <v/>
      </c>
      <c r="AC416" s="11"/>
      <c r="AD416" s="11"/>
      <c r="AE416" s="11"/>
      <c r="AF416" s="11"/>
      <c r="AG416" s="11"/>
      <c r="AH416" s="11"/>
      <c r="AI416" s="11"/>
      <c r="AJ416" s="15"/>
      <c r="AK416" s="15"/>
      <c r="AL416" s="14">
        <f t="shared" si="59"/>
        <v>3</v>
      </c>
      <c r="AM416" s="11">
        <f t="shared" si="60"/>
        <v>3</v>
      </c>
      <c r="AN416" s="14">
        <f t="shared" si="61"/>
        <v>3</v>
      </c>
      <c r="AO416" s="15"/>
      <c r="AP416" s="15"/>
      <c r="AQ416" s="15"/>
    </row>
    <row r="417" spans="1:43" ht="34" hidden="1" x14ac:dyDescent="0.2">
      <c r="A417" s="7">
        <v>416</v>
      </c>
      <c r="B417" s="19" t="s">
        <v>891</v>
      </c>
      <c r="C417" s="19" t="s">
        <v>892</v>
      </c>
      <c r="D417" s="8" t="s">
        <v>34</v>
      </c>
      <c r="E417" s="19" t="s">
        <v>269</v>
      </c>
      <c r="F417" s="8" t="s">
        <v>36</v>
      </c>
      <c r="G417" s="7" t="s">
        <v>59</v>
      </c>
      <c r="H417" s="9" t="s">
        <v>44</v>
      </c>
      <c r="I417" s="10"/>
      <c r="J417" s="10" t="s">
        <v>40</v>
      </c>
      <c r="K417" s="10" t="s">
        <v>40</v>
      </c>
      <c r="L417" s="10" t="s">
        <v>40</v>
      </c>
      <c r="M417">
        <v>0</v>
      </c>
      <c r="N417">
        <v>0</v>
      </c>
      <c r="O417">
        <v>0</v>
      </c>
      <c r="P417" s="10" t="s">
        <v>44</v>
      </c>
      <c r="Q417" s="10">
        <f t="array" ref="Q417">IFERROR(SUMPRODUCT((N417:P417&gt;0)*(N417:P417))/3, 0)</f>
        <v>0</v>
      </c>
      <c r="R417" s="10"/>
      <c r="S417" s="11" t="str">
        <f t="shared" si="57"/>
        <v/>
      </c>
      <c r="T417" s="7"/>
      <c r="U417" s="7"/>
      <c r="V417" s="7"/>
      <c r="W417" s="7"/>
      <c r="X417" s="7"/>
      <c r="Y417" s="7"/>
      <c r="Z417" s="15"/>
      <c r="AA417" s="15"/>
      <c r="AB417" s="11" t="str">
        <f t="shared" si="58"/>
        <v/>
      </c>
      <c r="AC417" s="11"/>
      <c r="AD417" s="11"/>
      <c r="AE417" s="11"/>
      <c r="AF417" s="11"/>
      <c r="AG417" s="11"/>
      <c r="AH417" s="11"/>
      <c r="AI417" s="11"/>
      <c r="AJ417" s="15"/>
      <c r="AK417" s="15"/>
      <c r="AL417" s="14">
        <f t="shared" si="59"/>
        <v>3</v>
      </c>
      <c r="AM417" s="11">
        <f t="shared" si="60"/>
        <v>3</v>
      </c>
      <c r="AN417" s="14">
        <f t="shared" si="61"/>
        <v>3</v>
      </c>
      <c r="AO417" s="15"/>
      <c r="AP417" s="15"/>
      <c r="AQ417" s="15"/>
    </row>
    <row r="418" spans="1:43" ht="34" hidden="1" x14ac:dyDescent="0.2">
      <c r="A418" s="7">
        <v>417</v>
      </c>
      <c r="B418" s="19" t="s">
        <v>893</v>
      </c>
      <c r="C418" s="19" t="s">
        <v>894</v>
      </c>
      <c r="D418" s="8" t="s">
        <v>34</v>
      </c>
      <c r="E418" s="19" t="s">
        <v>269</v>
      </c>
      <c r="F418" s="8" t="s">
        <v>36</v>
      </c>
      <c r="G418" s="7" t="s">
        <v>59</v>
      </c>
      <c r="H418" s="9" t="s">
        <v>44</v>
      </c>
      <c r="I418" s="10"/>
      <c r="J418" s="10" t="s">
        <v>40</v>
      </c>
      <c r="K418" s="10" t="s">
        <v>40</v>
      </c>
      <c r="L418" s="10" t="s">
        <v>40</v>
      </c>
      <c r="M418">
        <v>0</v>
      </c>
      <c r="N418">
        <v>0</v>
      </c>
      <c r="O418">
        <v>0</v>
      </c>
      <c r="P418" s="10" t="s">
        <v>44</v>
      </c>
      <c r="Q418" s="10">
        <f t="array" ref="Q418">IFERROR(SUMPRODUCT((N418:P418&gt;0)*(N418:P418))/3, 0)</f>
        <v>0</v>
      </c>
      <c r="R418" s="10"/>
      <c r="S418" s="11" t="str">
        <f t="shared" si="57"/>
        <v/>
      </c>
      <c r="T418" s="7"/>
      <c r="U418" s="7"/>
      <c r="V418" s="7"/>
      <c r="W418" s="7"/>
      <c r="X418" s="7"/>
      <c r="Y418" s="7"/>
      <c r="Z418" s="15"/>
      <c r="AA418" s="15"/>
      <c r="AB418" s="11" t="str">
        <f t="shared" si="58"/>
        <v/>
      </c>
      <c r="AC418" s="11"/>
      <c r="AD418" s="11"/>
      <c r="AE418" s="11"/>
      <c r="AF418" s="11"/>
      <c r="AG418" s="11"/>
      <c r="AH418" s="11"/>
      <c r="AI418" s="11"/>
      <c r="AJ418" s="15"/>
      <c r="AK418" s="15"/>
      <c r="AL418" s="14">
        <f t="shared" si="59"/>
        <v>3</v>
      </c>
      <c r="AM418" s="11">
        <f t="shared" si="60"/>
        <v>3</v>
      </c>
      <c r="AN418" s="14">
        <f t="shared" si="61"/>
        <v>3</v>
      </c>
      <c r="AO418" s="15"/>
      <c r="AP418" s="15"/>
      <c r="AQ418" s="15"/>
    </row>
    <row r="419" spans="1:43" ht="34" hidden="1" x14ac:dyDescent="0.2">
      <c r="A419" s="7">
        <v>418</v>
      </c>
      <c r="B419" s="19" t="s">
        <v>895</v>
      </c>
      <c r="C419" s="19" t="s">
        <v>896</v>
      </c>
      <c r="D419" s="8" t="s">
        <v>34</v>
      </c>
      <c r="E419" s="19" t="s">
        <v>269</v>
      </c>
      <c r="F419" s="8" t="s">
        <v>36</v>
      </c>
      <c r="G419" s="7" t="s">
        <v>59</v>
      </c>
      <c r="H419" s="9" t="s">
        <v>44</v>
      </c>
      <c r="I419" s="10"/>
      <c r="J419" s="10" t="s">
        <v>40</v>
      </c>
      <c r="K419" s="10" t="s">
        <v>40</v>
      </c>
      <c r="L419" s="10" t="s">
        <v>40</v>
      </c>
      <c r="M419">
        <v>0</v>
      </c>
      <c r="N419">
        <v>0</v>
      </c>
      <c r="O419">
        <v>0</v>
      </c>
      <c r="P419" s="10" t="s">
        <v>44</v>
      </c>
      <c r="Q419" s="10">
        <f t="array" ref="Q419">IFERROR(SUMPRODUCT((N419:P419&gt;0)*(N419:P419))/3, 0)</f>
        <v>0</v>
      </c>
      <c r="R419" s="10"/>
      <c r="S419" s="11" t="str">
        <f t="shared" si="57"/>
        <v/>
      </c>
      <c r="T419" s="7"/>
      <c r="U419" s="7"/>
      <c r="V419" s="7"/>
      <c r="W419" s="7"/>
      <c r="X419" s="7"/>
      <c r="Y419" s="7"/>
      <c r="Z419" s="15"/>
      <c r="AA419" s="15"/>
      <c r="AB419" s="11" t="str">
        <f t="shared" si="58"/>
        <v/>
      </c>
      <c r="AC419" s="11"/>
      <c r="AD419" s="11"/>
      <c r="AE419" s="11"/>
      <c r="AF419" s="11"/>
      <c r="AG419" s="11"/>
      <c r="AH419" s="11"/>
      <c r="AI419" s="11"/>
      <c r="AJ419" s="15"/>
      <c r="AK419" s="15"/>
      <c r="AL419" s="14">
        <f t="shared" si="59"/>
        <v>3</v>
      </c>
      <c r="AM419" s="11">
        <f t="shared" si="60"/>
        <v>3</v>
      </c>
      <c r="AN419" s="14">
        <f t="shared" si="61"/>
        <v>3</v>
      </c>
      <c r="AO419" s="15"/>
      <c r="AP419" s="15"/>
      <c r="AQ419" s="15"/>
    </row>
    <row r="420" spans="1:43" ht="34" hidden="1" x14ac:dyDescent="0.2">
      <c r="A420" s="7">
        <v>419</v>
      </c>
      <c r="B420" s="19" t="s">
        <v>897</v>
      </c>
      <c r="C420" s="19" t="s">
        <v>898</v>
      </c>
      <c r="D420" s="8" t="s">
        <v>34</v>
      </c>
      <c r="E420" s="19" t="s">
        <v>269</v>
      </c>
      <c r="F420" s="8" t="s">
        <v>36</v>
      </c>
      <c r="G420" s="7" t="s">
        <v>59</v>
      </c>
      <c r="H420" s="9" t="s">
        <v>44</v>
      </c>
      <c r="I420" s="10"/>
      <c r="J420" s="10" t="s">
        <v>40</v>
      </c>
      <c r="K420" s="10" t="s">
        <v>40</v>
      </c>
      <c r="L420" s="10" t="s">
        <v>40</v>
      </c>
      <c r="M420">
        <v>0</v>
      </c>
      <c r="N420">
        <v>0</v>
      </c>
      <c r="O420">
        <v>0</v>
      </c>
      <c r="P420" s="10" t="s">
        <v>44</v>
      </c>
      <c r="Q420" s="10">
        <f t="array" ref="Q420">IFERROR(SUMPRODUCT((N420:P420&gt;0)*(N420:P420))/3, 0)</f>
        <v>0</v>
      </c>
      <c r="R420" s="10"/>
      <c r="S420" s="11" t="str">
        <f t="shared" si="57"/>
        <v/>
      </c>
      <c r="T420" s="7"/>
      <c r="U420" s="7"/>
      <c r="V420" s="7"/>
      <c r="W420" s="7"/>
      <c r="X420" s="7"/>
      <c r="Y420" s="7"/>
      <c r="Z420" s="15"/>
      <c r="AA420" s="15"/>
      <c r="AB420" s="11" t="str">
        <f t="shared" si="58"/>
        <v/>
      </c>
      <c r="AC420" s="11"/>
      <c r="AD420" s="11"/>
      <c r="AE420" s="11"/>
      <c r="AF420" s="11"/>
      <c r="AG420" s="11"/>
      <c r="AH420" s="11"/>
      <c r="AI420" s="11"/>
      <c r="AJ420" s="15"/>
      <c r="AK420" s="15"/>
      <c r="AL420" s="14">
        <f t="shared" si="59"/>
        <v>3</v>
      </c>
      <c r="AM420" s="11">
        <f t="shared" si="60"/>
        <v>3</v>
      </c>
      <c r="AN420" s="14">
        <f t="shared" si="61"/>
        <v>3</v>
      </c>
      <c r="AO420" s="15"/>
      <c r="AP420" s="15"/>
      <c r="AQ420" s="15"/>
    </row>
    <row r="421" spans="1:43" ht="34" hidden="1" x14ac:dyDescent="0.2">
      <c r="A421" s="7">
        <v>420</v>
      </c>
      <c r="B421" s="19" t="s">
        <v>899</v>
      </c>
      <c r="C421" s="19" t="s">
        <v>900</v>
      </c>
      <c r="D421" s="8" t="s">
        <v>34</v>
      </c>
      <c r="E421" s="19" t="s">
        <v>269</v>
      </c>
      <c r="F421" s="8" t="s">
        <v>36</v>
      </c>
      <c r="G421" s="7" t="s">
        <v>59</v>
      </c>
      <c r="H421" s="9" t="s">
        <v>44</v>
      </c>
      <c r="I421" s="10"/>
      <c r="J421" s="10" t="s">
        <v>40</v>
      </c>
      <c r="K421" s="10" t="s">
        <v>40</v>
      </c>
      <c r="L421" s="10" t="s">
        <v>40</v>
      </c>
      <c r="M421">
        <v>0</v>
      </c>
      <c r="N421">
        <v>0</v>
      </c>
      <c r="O421">
        <v>0</v>
      </c>
      <c r="P421" s="10" t="s">
        <v>44</v>
      </c>
      <c r="Q421" s="10">
        <f t="array" ref="Q421">IFERROR(SUMPRODUCT((N421:P421&gt;0)*(N421:P421))/3, 0)</f>
        <v>0</v>
      </c>
      <c r="R421" s="10"/>
      <c r="S421" s="11" t="str">
        <f t="shared" si="57"/>
        <v/>
      </c>
      <c r="T421" s="7"/>
      <c r="U421" s="7"/>
      <c r="V421" s="7"/>
      <c r="W421" s="7"/>
      <c r="X421" s="7"/>
      <c r="Y421" s="7"/>
      <c r="Z421" s="15"/>
      <c r="AA421" s="15"/>
      <c r="AB421" s="11" t="str">
        <f t="shared" si="58"/>
        <v/>
      </c>
      <c r="AC421" s="11"/>
      <c r="AD421" s="11"/>
      <c r="AE421" s="11"/>
      <c r="AF421" s="11"/>
      <c r="AG421" s="11"/>
      <c r="AH421" s="11"/>
      <c r="AI421" s="11"/>
      <c r="AJ421" s="15"/>
      <c r="AK421" s="15"/>
      <c r="AL421" s="14">
        <f t="shared" si="59"/>
        <v>3</v>
      </c>
      <c r="AM421" s="11">
        <f t="shared" si="60"/>
        <v>3</v>
      </c>
      <c r="AN421" s="14">
        <f t="shared" si="61"/>
        <v>3</v>
      </c>
      <c r="AO421" s="15"/>
      <c r="AP421" s="15"/>
      <c r="AQ421" s="15"/>
    </row>
    <row r="422" spans="1:43" ht="34" hidden="1" x14ac:dyDescent="0.2">
      <c r="A422" s="7">
        <v>421</v>
      </c>
      <c r="B422" s="19" t="s">
        <v>901</v>
      </c>
      <c r="C422" s="19" t="s">
        <v>902</v>
      </c>
      <c r="D422" s="8" t="s">
        <v>34</v>
      </c>
      <c r="E422" s="19" t="s">
        <v>269</v>
      </c>
      <c r="F422" s="8" t="s">
        <v>36</v>
      </c>
      <c r="G422" s="7" t="s">
        <v>59</v>
      </c>
      <c r="H422" s="9" t="s">
        <v>44</v>
      </c>
      <c r="I422" s="10"/>
      <c r="J422" s="10" t="s">
        <v>40</v>
      </c>
      <c r="K422" s="10" t="s">
        <v>40</v>
      </c>
      <c r="L422" s="10" t="s">
        <v>40</v>
      </c>
      <c r="M422">
        <v>0</v>
      </c>
      <c r="N422">
        <v>0</v>
      </c>
      <c r="O422">
        <v>0</v>
      </c>
      <c r="P422" s="10" t="s">
        <v>44</v>
      </c>
      <c r="Q422" s="10">
        <f t="array" ref="Q422">IFERROR(SUMPRODUCT((N422:P422&gt;0)*(N422:P422))/3, 0)</f>
        <v>0</v>
      </c>
      <c r="R422" s="10"/>
      <c r="S422" s="11" t="str">
        <f t="shared" si="57"/>
        <v/>
      </c>
      <c r="T422" s="7"/>
      <c r="U422" s="7"/>
      <c r="V422" s="7"/>
      <c r="W422" s="7"/>
      <c r="X422" s="7"/>
      <c r="Y422" s="7"/>
      <c r="Z422" s="15"/>
      <c r="AA422" s="15"/>
      <c r="AB422" s="11" t="str">
        <f t="shared" si="58"/>
        <v/>
      </c>
      <c r="AC422" s="11"/>
      <c r="AD422" s="11"/>
      <c r="AE422" s="11"/>
      <c r="AF422" s="11"/>
      <c r="AG422" s="11"/>
      <c r="AH422" s="11"/>
      <c r="AI422" s="11"/>
      <c r="AJ422" s="15"/>
      <c r="AK422" s="15"/>
      <c r="AL422" s="14">
        <f t="shared" si="59"/>
        <v>3</v>
      </c>
      <c r="AM422" s="11">
        <f t="shared" si="60"/>
        <v>3</v>
      </c>
      <c r="AN422" s="14">
        <f t="shared" si="61"/>
        <v>3</v>
      </c>
      <c r="AO422" s="15"/>
      <c r="AP422" s="15"/>
      <c r="AQ422" s="15"/>
    </row>
    <row r="423" spans="1:43" ht="34" hidden="1" x14ac:dyDescent="0.2">
      <c r="A423" s="7">
        <v>422</v>
      </c>
      <c r="B423" s="19" t="s">
        <v>903</v>
      </c>
      <c r="C423" s="19" t="s">
        <v>904</v>
      </c>
      <c r="D423" s="8" t="s">
        <v>34</v>
      </c>
      <c r="E423" s="19" t="s">
        <v>269</v>
      </c>
      <c r="F423" s="8" t="s">
        <v>36</v>
      </c>
      <c r="G423" s="7" t="s">
        <v>59</v>
      </c>
      <c r="H423" s="9" t="s">
        <v>44</v>
      </c>
      <c r="I423" s="10"/>
      <c r="J423" s="10" t="s">
        <v>40</v>
      </c>
      <c r="K423" s="10" t="s">
        <v>40</v>
      </c>
      <c r="L423" s="10" t="s">
        <v>40</v>
      </c>
      <c r="M423">
        <v>0</v>
      </c>
      <c r="N423">
        <v>0</v>
      </c>
      <c r="O423">
        <v>0</v>
      </c>
      <c r="P423" s="10" t="s">
        <v>44</v>
      </c>
      <c r="Q423" s="10">
        <f t="array" ref="Q423">IFERROR(SUMPRODUCT((N423:P423&gt;0)*(N423:P423))/3, 0)</f>
        <v>0</v>
      </c>
      <c r="R423" s="10"/>
      <c r="S423" s="11" t="str">
        <f t="shared" si="57"/>
        <v/>
      </c>
      <c r="T423" s="7"/>
      <c r="U423" s="7"/>
      <c r="V423" s="7"/>
      <c r="W423" s="7"/>
      <c r="X423" s="7"/>
      <c r="Y423" s="7"/>
      <c r="Z423" s="15"/>
      <c r="AA423" s="15"/>
      <c r="AB423" s="11" t="str">
        <f t="shared" si="58"/>
        <v/>
      </c>
      <c r="AC423" s="11"/>
      <c r="AD423" s="11"/>
      <c r="AE423" s="11"/>
      <c r="AF423" s="11"/>
      <c r="AG423" s="11"/>
      <c r="AH423" s="11"/>
      <c r="AI423" s="11"/>
      <c r="AJ423" s="15"/>
      <c r="AK423" s="15"/>
      <c r="AL423" s="14">
        <f t="shared" si="59"/>
        <v>3</v>
      </c>
      <c r="AM423" s="11">
        <f t="shared" si="60"/>
        <v>3</v>
      </c>
      <c r="AN423" s="14">
        <f t="shared" si="61"/>
        <v>3</v>
      </c>
      <c r="AO423" s="15"/>
      <c r="AP423" s="15"/>
      <c r="AQ423" s="15"/>
    </row>
    <row r="424" spans="1:43" ht="34" hidden="1" x14ac:dyDescent="0.2">
      <c r="A424" s="7">
        <v>423</v>
      </c>
      <c r="B424" s="19" t="s">
        <v>905</v>
      </c>
      <c r="C424" s="19" t="s">
        <v>906</v>
      </c>
      <c r="D424" s="8" t="s">
        <v>34</v>
      </c>
      <c r="E424" s="19" t="s">
        <v>269</v>
      </c>
      <c r="F424" s="8" t="s">
        <v>36</v>
      </c>
      <c r="G424" s="7" t="s">
        <v>59</v>
      </c>
      <c r="H424" s="9" t="s">
        <v>44</v>
      </c>
      <c r="I424" s="10"/>
      <c r="J424" s="10" t="s">
        <v>40</v>
      </c>
      <c r="K424" s="10" t="s">
        <v>40</v>
      </c>
      <c r="L424" s="10" t="s">
        <v>40</v>
      </c>
      <c r="M424">
        <v>0</v>
      </c>
      <c r="N424">
        <v>0</v>
      </c>
      <c r="O424">
        <v>0</v>
      </c>
      <c r="P424" s="10" t="s">
        <v>44</v>
      </c>
      <c r="Q424" s="10">
        <f t="array" ref="Q424">IFERROR(SUMPRODUCT((N424:P424&gt;0)*(N424:P424))/3, 0)</f>
        <v>0</v>
      </c>
      <c r="R424" s="10"/>
      <c r="S424" s="11" t="str">
        <f t="shared" si="57"/>
        <v/>
      </c>
      <c r="T424" s="7"/>
      <c r="U424" s="7"/>
      <c r="V424" s="7"/>
      <c r="W424" s="7"/>
      <c r="X424" s="7"/>
      <c r="Y424" s="7"/>
      <c r="Z424" s="15"/>
      <c r="AA424" s="15"/>
      <c r="AB424" s="11" t="str">
        <f t="shared" si="58"/>
        <v/>
      </c>
      <c r="AC424" s="11"/>
      <c r="AD424" s="11"/>
      <c r="AE424" s="11"/>
      <c r="AF424" s="11"/>
      <c r="AG424" s="11"/>
      <c r="AH424" s="11"/>
      <c r="AI424" s="11"/>
      <c r="AJ424" s="15"/>
      <c r="AK424" s="15"/>
      <c r="AL424" s="14">
        <f t="shared" si="59"/>
        <v>3</v>
      </c>
      <c r="AM424" s="11">
        <f t="shared" si="60"/>
        <v>3</v>
      </c>
      <c r="AN424" s="14">
        <f t="shared" si="61"/>
        <v>3</v>
      </c>
      <c r="AO424" s="15"/>
      <c r="AP424" s="15"/>
      <c r="AQ424" s="15"/>
    </row>
    <row r="425" spans="1:43" ht="34" hidden="1" x14ac:dyDescent="0.2">
      <c r="A425" s="7">
        <v>424</v>
      </c>
      <c r="B425" s="19" t="s">
        <v>907</v>
      </c>
      <c r="C425" s="19" t="s">
        <v>908</v>
      </c>
      <c r="D425" s="8" t="s">
        <v>34</v>
      </c>
      <c r="E425" s="19" t="s">
        <v>269</v>
      </c>
      <c r="F425" s="8" t="s">
        <v>36</v>
      </c>
      <c r="G425" s="7" t="s">
        <v>59</v>
      </c>
      <c r="H425" s="9" t="s">
        <v>44</v>
      </c>
      <c r="I425" s="10"/>
      <c r="J425" s="10" t="s">
        <v>40</v>
      </c>
      <c r="K425" s="10" t="s">
        <v>40</v>
      </c>
      <c r="L425" s="10" t="s">
        <v>40</v>
      </c>
      <c r="M425">
        <v>0</v>
      </c>
      <c r="N425">
        <v>0</v>
      </c>
      <c r="O425">
        <v>0</v>
      </c>
      <c r="P425" s="10" t="s">
        <v>44</v>
      </c>
      <c r="Q425" s="10">
        <f t="array" ref="Q425">IFERROR(SUMPRODUCT((N425:P425&gt;0)*(N425:P425))/3, 0)</f>
        <v>0</v>
      </c>
      <c r="R425" s="10"/>
      <c r="S425" s="11" t="str">
        <f t="shared" si="57"/>
        <v/>
      </c>
      <c r="T425" s="7"/>
      <c r="U425" s="7"/>
      <c r="V425" s="7"/>
      <c r="W425" s="7"/>
      <c r="X425" s="7"/>
      <c r="Y425" s="7"/>
      <c r="Z425" s="15"/>
      <c r="AA425" s="15"/>
      <c r="AB425" s="11" t="str">
        <f t="shared" si="58"/>
        <v/>
      </c>
      <c r="AC425" s="11"/>
      <c r="AD425" s="11"/>
      <c r="AE425" s="11"/>
      <c r="AF425" s="11"/>
      <c r="AG425" s="11"/>
      <c r="AH425" s="11"/>
      <c r="AI425" s="11"/>
      <c r="AJ425" s="15"/>
      <c r="AK425" s="15"/>
      <c r="AL425" s="14">
        <f t="shared" si="59"/>
        <v>3</v>
      </c>
      <c r="AM425" s="11">
        <f t="shared" si="60"/>
        <v>3</v>
      </c>
      <c r="AN425" s="14">
        <f t="shared" si="61"/>
        <v>3</v>
      </c>
      <c r="AO425" s="15"/>
      <c r="AP425" s="15"/>
      <c r="AQ425" s="15"/>
    </row>
    <row r="426" spans="1:43" ht="34" hidden="1" x14ac:dyDescent="0.2">
      <c r="A426" s="7">
        <v>425</v>
      </c>
      <c r="B426" s="19" t="s">
        <v>909</v>
      </c>
      <c r="C426" s="19" t="s">
        <v>910</v>
      </c>
      <c r="D426" s="8" t="s">
        <v>34</v>
      </c>
      <c r="E426" s="19" t="s">
        <v>269</v>
      </c>
      <c r="F426" s="8" t="s">
        <v>36</v>
      </c>
      <c r="G426" s="7" t="s">
        <v>59</v>
      </c>
      <c r="H426" s="9" t="s">
        <v>44</v>
      </c>
      <c r="I426" s="10"/>
      <c r="J426" s="10" t="s">
        <v>40</v>
      </c>
      <c r="K426" s="10" t="s">
        <v>40</v>
      </c>
      <c r="L426" s="10" t="s">
        <v>40</v>
      </c>
      <c r="M426">
        <v>0</v>
      </c>
      <c r="N426">
        <v>0</v>
      </c>
      <c r="O426">
        <v>0</v>
      </c>
      <c r="P426" s="10" t="s">
        <v>44</v>
      </c>
      <c r="Q426" s="10">
        <f t="array" ref="Q426">IFERROR(SUMPRODUCT((N426:P426&gt;0)*(N426:P426))/3, 0)</f>
        <v>0</v>
      </c>
      <c r="R426" s="10"/>
      <c r="S426" s="11" t="str">
        <f t="shared" si="57"/>
        <v/>
      </c>
      <c r="T426" s="7"/>
      <c r="U426" s="7"/>
      <c r="V426" s="7"/>
      <c r="W426" s="7"/>
      <c r="X426" s="7"/>
      <c r="Y426" s="7"/>
      <c r="Z426" s="15"/>
      <c r="AA426" s="15"/>
      <c r="AB426" s="11" t="str">
        <f t="shared" si="58"/>
        <v/>
      </c>
      <c r="AC426" s="11"/>
      <c r="AD426" s="11"/>
      <c r="AE426" s="11"/>
      <c r="AF426" s="11"/>
      <c r="AG426" s="11"/>
      <c r="AH426" s="11"/>
      <c r="AI426" s="11"/>
      <c r="AJ426" s="15"/>
      <c r="AK426" s="15"/>
      <c r="AL426" s="14">
        <f t="shared" si="59"/>
        <v>3</v>
      </c>
      <c r="AM426" s="11">
        <f t="shared" si="60"/>
        <v>3</v>
      </c>
      <c r="AN426" s="14">
        <f t="shared" si="61"/>
        <v>3</v>
      </c>
      <c r="AO426" s="15"/>
      <c r="AP426" s="15"/>
      <c r="AQ426" s="15"/>
    </row>
    <row r="427" spans="1:43" ht="34" hidden="1" x14ac:dyDescent="0.2">
      <c r="A427" s="7">
        <v>426</v>
      </c>
      <c r="B427" s="19" t="s">
        <v>911</v>
      </c>
      <c r="C427" s="19" t="s">
        <v>912</v>
      </c>
      <c r="D427" s="8" t="s">
        <v>34</v>
      </c>
      <c r="E427" s="19" t="s">
        <v>269</v>
      </c>
      <c r="F427" s="8" t="s">
        <v>36</v>
      </c>
      <c r="G427" s="7" t="s">
        <v>59</v>
      </c>
      <c r="H427" s="9" t="s">
        <v>44</v>
      </c>
      <c r="I427" s="10"/>
      <c r="J427" s="10" t="s">
        <v>40</v>
      </c>
      <c r="K427" s="10" t="s">
        <v>40</v>
      </c>
      <c r="L427" s="10" t="s">
        <v>40</v>
      </c>
      <c r="M427">
        <v>0</v>
      </c>
      <c r="N427">
        <v>0</v>
      </c>
      <c r="O427">
        <v>0</v>
      </c>
      <c r="P427" s="10" t="s">
        <v>44</v>
      </c>
      <c r="Q427" s="10">
        <f t="array" ref="Q427">IFERROR(SUMPRODUCT((N427:P427&gt;0)*(N427:P427))/3, 0)</f>
        <v>0</v>
      </c>
      <c r="R427" s="10"/>
      <c r="S427" s="11" t="str">
        <f t="shared" si="57"/>
        <v/>
      </c>
      <c r="T427" s="7"/>
      <c r="U427" s="7"/>
      <c r="V427" s="7"/>
      <c r="W427" s="7"/>
      <c r="X427" s="7"/>
      <c r="Y427" s="7"/>
      <c r="Z427" s="15"/>
      <c r="AA427" s="15"/>
      <c r="AB427" s="11" t="str">
        <f t="shared" si="58"/>
        <v/>
      </c>
      <c r="AC427" s="11"/>
      <c r="AD427" s="11"/>
      <c r="AE427" s="11"/>
      <c r="AF427" s="11"/>
      <c r="AG427" s="11"/>
      <c r="AH427" s="11"/>
      <c r="AI427" s="11"/>
      <c r="AJ427" s="15"/>
      <c r="AK427" s="15"/>
      <c r="AL427" s="14">
        <f t="shared" si="59"/>
        <v>3</v>
      </c>
      <c r="AM427" s="11">
        <f t="shared" si="60"/>
        <v>3</v>
      </c>
      <c r="AN427" s="14">
        <f t="shared" si="61"/>
        <v>3</v>
      </c>
      <c r="AO427" s="15"/>
      <c r="AP427" s="15"/>
      <c r="AQ427" s="15"/>
    </row>
    <row r="428" spans="1:43" ht="34" hidden="1" x14ac:dyDescent="0.2">
      <c r="A428" s="7">
        <v>427</v>
      </c>
      <c r="B428" s="19" t="s">
        <v>913</v>
      </c>
      <c r="C428" s="19" t="s">
        <v>914</v>
      </c>
      <c r="D428" s="8" t="s">
        <v>34</v>
      </c>
      <c r="E428" s="19" t="s">
        <v>269</v>
      </c>
      <c r="F428" s="8" t="s">
        <v>36</v>
      </c>
      <c r="G428" s="7" t="s">
        <v>59</v>
      </c>
      <c r="H428" s="9" t="s">
        <v>44</v>
      </c>
      <c r="I428" s="10"/>
      <c r="J428" s="10" t="s">
        <v>40</v>
      </c>
      <c r="K428" s="10" t="s">
        <v>40</v>
      </c>
      <c r="L428" s="10" t="s">
        <v>40</v>
      </c>
      <c r="M428">
        <v>0</v>
      </c>
      <c r="N428">
        <v>0</v>
      </c>
      <c r="O428">
        <v>0</v>
      </c>
      <c r="P428" s="10" t="s">
        <v>44</v>
      </c>
      <c r="Q428" s="10">
        <f t="array" ref="Q428">IFERROR(SUMPRODUCT((N428:P428&gt;0)*(N428:P428))/3, 0)</f>
        <v>0</v>
      </c>
      <c r="R428" s="10"/>
      <c r="S428" s="11" t="str">
        <f t="shared" si="57"/>
        <v/>
      </c>
      <c r="T428" s="7"/>
      <c r="U428" s="7"/>
      <c r="V428" s="7"/>
      <c r="W428" s="7"/>
      <c r="X428" s="7"/>
      <c r="Y428" s="7"/>
      <c r="Z428" s="15"/>
      <c r="AA428" s="15"/>
      <c r="AB428" s="11" t="str">
        <f t="shared" si="58"/>
        <v/>
      </c>
      <c r="AC428" s="11"/>
      <c r="AD428" s="11"/>
      <c r="AE428" s="11"/>
      <c r="AF428" s="11"/>
      <c r="AG428" s="11"/>
      <c r="AH428" s="11"/>
      <c r="AI428" s="11"/>
      <c r="AJ428" s="15"/>
      <c r="AK428" s="15"/>
      <c r="AL428" s="14">
        <f t="shared" si="59"/>
        <v>3</v>
      </c>
      <c r="AM428" s="11">
        <f t="shared" si="60"/>
        <v>3</v>
      </c>
      <c r="AN428" s="14">
        <f t="shared" si="61"/>
        <v>3</v>
      </c>
      <c r="AO428" s="15"/>
      <c r="AP428" s="15"/>
      <c r="AQ428" s="15"/>
    </row>
    <row r="429" spans="1:43" ht="34" hidden="1" x14ac:dyDescent="0.2">
      <c r="A429" s="7">
        <v>428</v>
      </c>
      <c r="B429" s="19" t="s">
        <v>915</v>
      </c>
      <c r="C429" s="19" t="s">
        <v>916</v>
      </c>
      <c r="D429" s="8" t="s">
        <v>34</v>
      </c>
      <c r="E429" s="19" t="s">
        <v>269</v>
      </c>
      <c r="F429" s="8" t="s">
        <v>36</v>
      </c>
      <c r="G429" s="7" t="s">
        <v>59</v>
      </c>
      <c r="H429" s="9" t="s">
        <v>44</v>
      </c>
      <c r="I429" s="10"/>
      <c r="J429" s="10" t="s">
        <v>40</v>
      </c>
      <c r="K429" s="10" t="s">
        <v>40</v>
      </c>
      <c r="L429" s="10" t="s">
        <v>40</v>
      </c>
      <c r="M429">
        <v>0</v>
      </c>
      <c r="N429">
        <v>0</v>
      </c>
      <c r="O429">
        <v>0</v>
      </c>
      <c r="P429" s="10" t="s">
        <v>44</v>
      </c>
      <c r="Q429" s="10">
        <f t="array" ref="Q429">IFERROR(SUMPRODUCT((N429:P429&gt;0)*(N429:P429))/3, 0)</f>
        <v>0</v>
      </c>
      <c r="R429" s="10"/>
      <c r="S429" s="11" t="str">
        <f t="shared" si="57"/>
        <v/>
      </c>
      <c r="T429" s="7"/>
      <c r="U429" s="7"/>
      <c r="V429" s="7"/>
      <c r="W429" s="7"/>
      <c r="X429" s="7"/>
      <c r="Y429" s="7"/>
      <c r="Z429" s="15"/>
      <c r="AA429" s="15"/>
      <c r="AB429" s="11" t="str">
        <f t="shared" si="58"/>
        <v/>
      </c>
      <c r="AC429" s="11"/>
      <c r="AD429" s="11"/>
      <c r="AE429" s="11"/>
      <c r="AF429" s="11"/>
      <c r="AG429" s="11"/>
      <c r="AH429" s="11"/>
      <c r="AI429" s="11"/>
      <c r="AJ429" s="15"/>
      <c r="AK429" s="15"/>
      <c r="AL429" s="14">
        <f t="shared" si="59"/>
        <v>3</v>
      </c>
      <c r="AM429" s="11">
        <f t="shared" si="60"/>
        <v>3</v>
      </c>
      <c r="AN429" s="14">
        <f t="shared" si="61"/>
        <v>3</v>
      </c>
      <c r="AO429" s="15"/>
      <c r="AP429" s="15"/>
      <c r="AQ429" s="15"/>
    </row>
    <row r="430" spans="1:43" ht="34" hidden="1" x14ac:dyDescent="0.2">
      <c r="A430" s="7">
        <v>429</v>
      </c>
      <c r="B430" s="19" t="s">
        <v>917</v>
      </c>
      <c r="C430" s="19" t="s">
        <v>918</v>
      </c>
      <c r="D430" s="8" t="s">
        <v>34</v>
      </c>
      <c r="E430" s="19" t="s">
        <v>269</v>
      </c>
      <c r="F430" s="8" t="s">
        <v>36</v>
      </c>
      <c r="G430" s="7" t="s">
        <v>59</v>
      </c>
      <c r="H430" s="9" t="s">
        <v>44</v>
      </c>
      <c r="I430" s="10"/>
      <c r="J430" s="10" t="s">
        <v>40</v>
      </c>
      <c r="K430" s="10" t="s">
        <v>40</v>
      </c>
      <c r="L430" s="10" t="s">
        <v>40</v>
      </c>
      <c r="M430">
        <v>0</v>
      </c>
      <c r="N430">
        <v>0</v>
      </c>
      <c r="O430">
        <v>0</v>
      </c>
      <c r="P430" s="10" t="s">
        <v>44</v>
      </c>
      <c r="Q430" s="10">
        <f t="array" ref="Q430">IFERROR(SUMPRODUCT((N430:P430&gt;0)*(N430:P430))/3, 0)</f>
        <v>0</v>
      </c>
      <c r="R430" s="10"/>
      <c r="S430" s="11" t="str">
        <f t="shared" si="57"/>
        <v/>
      </c>
      <c r="T430" s="7"/>
      <c r="U430" s="7"/>
      <c r="V430" s="7"/>
      <c r="W430" s="7"/>
      <c r="X430" s="7"/>
      <c r="Y430" s="7"/>
      <c r="Z430" s="15"/>
      <c r="AA430" s="15"/>
      <c r="AB430" s="11" t="str">
        <f t="shared" si="58"/>
        <v/>
      </c>
      <c r="AC430" s="11"/>
      <c r="AD430" s="11"/>
      <c r="AE430" s="11"/>
      <c r="AF430" s="11"/>
      <c r="AG430" s="11"/>
      <c r="AH430" s="11"/>
      <c r="AI430" s="11"/>
      <c r="AJ430" s="15"/>
      <c r="AK430" s="15"/>
      <c r="AL430" s="14">
        <f t="shared" si="59"/>
        <v>3</v>
      </c>
      <c r="AM430" s="11">
        <f t="shared" si="60"/>
        <v>3</v>
      </c>
      <c r="AN430" s="14">
        <f t="shared" si="61"/>
        <v>3</v>
      </c>
      <c r="AO430" s="15"/>
      <c r="AP430" s="15"/>
      <c r="AQ430" s="15"/>
    </row>
    <row r="431" spans="1:43" ht="34" hidden="1" x14ac:dyDescent="0.2">
      <c r="A431" s="7">
        <v>430</v>
      </c>
      <c r="B431" s="19" t="s">
        <v>919</v>
      </c>
      <c r="C431" s="19" t="s">
        <v>920</v>
      </c>
      <c r="D431" s="8" t="s">
        <v>34</v>
      </c>
      <c r="E431" s="19" t="s">
        <v>269</v>
      </c>
      <c r="F431" s="8" t="s">
        <v>36</v>
      </c>
      <c r="G431" s="7" t="s">
        <v>59</v>
      </c>
      <c r="H431" s="9" t="s">
        <v>44</v>
      </c>
      <c r="I431" s="10"/>
      <c r="J431" s="10" t="s">
        <v>40</v>
      </c>
      <c r="K431" s="10" t="s">
        <v>40</v>
      </c>
      <c r="L431" s="10" t="s">
        <v>40</v>
      </c>
      <c r="M431">
        <v>0</v>
      </c>
      <c r="N431">
        <v>0</v>
      </c>
      <c r="O431">
        <v>0</v>
      </c>
      <c r="P431" s="10" t="s">
        <v>44</v>
      </c>
      <c r="Q431" s="10">
        <f t="array" ref="Q431">IFERROR(SUMPRODUCT((N431:P431&gt;0)*(N431:P431))/3, 0)</f>
        <v>0</v>
      </c>
      <c r="R431" s="10"/>
      <c r="S431" s="11" t="str">
        <f t="shared" si="57"/>
        <v/>
      </c>
      <c r="T431" s="7"/>
      <c r="U431" s="7"/>
      <c r="V431" s="7"/>
      <c r="W431" s="7"/>
      <c r="X431" s="7"/>
      <c r="Y431" s="7"/>
      <c r="Z431" s="15"/>
      <c r="AA431" s="15"/>
      <c r="AB431" s="11" t="str">
        <f t="shared" si="58"/>
        <v/>
      </c>
      <c r="AC431" s="11"/>
      <c r="AD431" s="11"/>
      <c r="AE431" s="11"/>
      <c r="AF431" s="11"/>
      <c r="AG431" s="11"/>
      <c r="AH431" s="11"/>
      <c r="AI431" s="11"/>
      <c r="AJ431" s="15"/>
      <c r="AK431" s="15"/>
      <c r="AL431" s="14">
        <f t="shared" si="59"/>
        <v>3</v>
      </c>
      <c r="AM431" s="11">
        <f t="shared" si="60"/>
        <v>3</v>
      </c>
      <c r="AN431" s="14">
        <f t="shared" si="61"/>
        <v>3</v>
      </c>
      <c r="AO431" s="15"/>
      <c r="AP431" s="15"/>
      <c r="AQ431" s="15"/>
    </row>
    <row r="432" spans="1:43" ht="34" hidden="1" x14ac:dyDescent="0.2">
      <c r="A432" s="7">
        <v>431</v>
      </c>
      <c r="B432" s="19" t="s">
        <v>921</v>
      </c>
      <c r="C432" s="19" t="s">
        <v>922</v>
      </c>
      <c r="D432" s="8" t="s">
        <v>34</v>
      </c>
      <c r="E432" s="19" t="s">
        <v>269</v>
      </c>
      <c r="F432" s="8" t="s">
        <v>36</v>
      </c>
      <c r="G432" s="7" t="s">
        <v>59</v>
      </c>
      <c r="H432" s="9" t="s">
        <v>44</v>
      </c>
      <c r="I432" s="10"/>
      <c r="J432" s="10" t="s">
        <v>40</v>
      </c>
      <c r="K432" s="10" t="s">
        <v>40</v>
      </c>
      <c r="L432" s="10" t="s">
        <v>40</v>
      </c>
      <c r="M432">
        <v>0</v>
      </c>
      <c r="N432">
        <v>0</v>
      </c>
      <c r="O432">
        <v>0</v>
      </c>
      <c r="P432" s="10" t="s">
        <v>44</v>
      </c>
      <c r="Q432" s="10">
        <f t="array" ref="Q432">IFERROR(SUMPRODUCT((N432:P432&gt;0)*(N432:P432))/3, 0)</f>
        <v>0</v>
      </c>
      <c r="R432" s="10"/>
      <c r="S432" s="11" t="str">
        <f t="shared" si="57"/>
        <v/>
      </c>
      <c r="T432" s="7"/>
      <c r="U432" s="7"/>
      <c r="V432" s="7"/>
      <c r="W432" s="7"/>
      <c r="X432" s="7"/>
      <c r="Y432" s="7"/>
      <c r="Z432" s="15"/>
      <c r="AA432" s="15"/>
      <c r="AB432" s="11" t="str">
        <f t="shared" si="58"/>
        <v/>
      </c>
      <c r="AC432" s="11"/>
      <c r="AD432" s="11"/>
      <c r="AE432" s="11"/>
      <c r="AF432" s="11"/>
      <c r="AG432" s="11"/>
      <c r="AH432" s="11"/>
      <c r="AI432" s="11"/>
      <c r="AJ432" s="15"/>
      <c r="AK432" s="15"/>
      <c r="AL432" s="14">
        <f t="shared" si="59"/>
        <v>3</v>
      </c>
      <c r="AM432" s="11">
        <f t="shared" si="60"/>
        <v>3</v>
      </c>
      <c r="AN432" s="14">
        <f t="shared" si="61"/>
        <v>3</v>
      </c>
      <c r="AO432" s="15"/>
      <c r="AP432" s="15"/>
      <c r="AQ432" s="15"/>
    </row>
    <row r="433" spans="1:43" ht="34" hidden="1" x14ac:dyDescent="0.2">
      <c r="A433" s="7">
        <v>432</v>
      </c>
      <c r="B433" s="19" t="s">
        <v>923</v>
      </c>
      <c r="C433" s="19" t="s">
        <v>924</v>
      </c>
      <c r="D433" s="8" t="s">
        <v>34</v>
      </c>
      <c r="E433" s="19" t="s">
        <v>269</v>
      </c>
      <c r="F433" s="8" t="s">
        <v>36</v>
      </c>
      <c r="G433" s="7" t="s">
        <v>59</v>
      </c>
      <c r="H433" s="9" t="s">
        <v>44</v>
      </c>
      <c r="I433" s="10"/>
      <c r="J433" s="10" t="s">
        <v>40</v>
      </c>
      <c r="K433" s="10" t="s">
        <v>40</v>
      </c>
      <c r="L433" s="10" t="s">
        <v>40</v>
      </c>
      <c r="M433">
        <v>0</v>
      </c>
      <c r="N433">
        <v>0</v>
      </c>
      <c r="O433">
        <v>0</v>
      </c>
      <c r="P433" s="10" t="s">
        <v>44</v>
      </c>
      <c r="Q433" s="10">
        <f t="array" ref="Q433">IFERROR(SUMPRODUCT((N433:P433&gt;0)*(N433:P433))/3, 0)</f>
        <v>0</v>
      </c>
      <c r="R433" s="10"/>
      <c r="S433" s="11" t="str">
        <f t="shared" si="57"/>
        <v/>
      </c>
      <c r="T433" s="7"/>
      <c r="U433" s="7"/>
      <c r="V433" s="7"/>
      <c r="W433" s="7"/>
      <c r="X433" s="7"/>
      <c r="Y433" s="7"/>
      <c r="Z433" s="15"/>
      <c r="AA433" s="15"/>
      <c r="AB433" s="11" t="str">
        <f t="shared" si="58"/>
        <v/>
      </c>
      <c r="AC433" s="11"/>
      <c r="AD433" s="11"/>
      <c r="AE433" s="11"/>
      <c r="AF433" s="11"/>
      <c r="AG433" s="11"/>
      <c r="AH433" s="11"/>
      <c r="AI433" s="11"/>
      <c r="AJ433" s="15"/>
      <c r="AK433" s="15"/>
      <c r="AL433" s="14">
        <f t="shared" si="59"/>
        <v>3</v>
      </c>
      <c r="AM433" s="11">
        <f t="shared" si="60"/>
        <v>3</v>
      </c>
      <c r="AN433" s="14">
        <f t="shared" si="61"/>
        <v>3</v>
      </c>
      <c r="AO433" s="15"/>
      <c r="AP433" s="15"/>
      <c r="AQ433" s="15"/>
    </row>
    <row r="434" spans="1:43" ht="34" hidden="1" x14ac:dyDescent="0.2">
      <c r="A434" s="7">
        <v>433</v>
      </c>
      <c r="B434" s="19" t="s">
        <v>925</v>
      </c>
      <c r="C434" s="19" t="s">
        <v>926</v>
      </c>
      <c r="D434" s="8" t="s">
        <v>34</v>
      </c>
      <c r="E434" s="19" t="s">
        <v>269</v>
      </c>
      <c r="F434" s="8" t="s">
        <v>36</v>
      </c>
      <c r="G434" s="7" t="s">
        <v>59</v>
      </c>
      <c r="H434" s="9" t="s">
        <v>44</v>
      </c>
      <c r="I434" s="10"/>
      <c r="J434" s="10" t="s">
        <v>40</v>
      </c>
      <c r="K434" s="10" t="s">
        <v>40</v>
      </c>
      <c r="L434" s="10" t="s">
        <v>40</v>
      </c>
      <c r="M434">
        <v>0</v>
      </c>
      <c r="N434">
        <v>0</v>
      </c>
      <c r="O434">
        <v>0</v>
      </c>
      <c r="P434" s="10" t="s">
        <v>44</v>
      </c>
      <c r="Q434" s="10">
        <f t="array" ref="Q434">IFERROR(SUMPRODUCT((N434:P434&gt;0)*(N434:P434))/3, 0)</f>
        <v>0</v>
      </c>
      <c r="R434" s="10"/>
      <c r="S434" s="11" t="str">
        <f t="shared" si="57"/>
        <v/>
      </c>
      <c r="T434" s="7"/>
      <c r="U434" s="7"/>
      <c r="V434" s="7"/>
      <c r="W434" s="7"/>
      <c r="X434" s="7"/>
      <c r="Y434" s="7"/>
      <c r="Z434" s="15"/>
      <c r="AA434" s="15"/>
      <c r="AB434" s="11" t="str">
        <f t="shared" si="58"/>
        <v/>
      </c>
      <c r="AC434" s="11"/>
      <c r="AD434" s="11"/>
      <c r="AE434" s="11"/>
      <c r="AF434" s="11"/>
      <c r="AG434" s="11"/>
      <c r="AH434" s="11"/>
      <c r="AI434" s="11"/>
      <c r="AJ434" s="15"/>
      <c r="AK434" s="15"/>
      <c r="AL434" s="14">
        <f t="shared" si="59"/>
        <v>3</v>
      </c>
      <c r="AM434" s="11">
        <f t="shared" si="60"/>
        <v>3</v>
      </c>
      <c r="AN434" s="14">
        <f t="shared" si="61"/>
        <v>3</v>
      </c>
      <c r="AO434" s="15"/>
      <c r="AP434" s="15"/>
      <c r="AQ434" s="15"/>
    </row>
    <row r="435" spans="1:43" ht="34" hidden="1" x14ac:dyDescent="0.2">
      <c r="A435" s="7">
        <v>434</v>
      </c>
      <c r="B435" s="19" t="s">
        <v>927</v>
      </c>
      <c r="C435" s="19" t="s">
        <v>928</v>
      </c>
      <c r="D435" s="8" t="s">
        <v>34</v>
      </c>
      <c r="E435" s="19" t="s">
        <v>269</v>
      </c>
      <c r="F435" s="8" t="s">
        <v>36</v>
      </c>
      <c r="G435" s="7" t="s">
        <v>59</v>
      </c>
      <c r="H435" s="9" t="s">
        <v>44</v>
      </c>
      <c r="I435" s="10"/>
      <c r="J435" s="10" t="s">
        <v>40</v>
      </c>
      <c r="K435" s="10" t="s">
        <v>40</v>
      </c>
      <c r="L435" s="10" t="s">
        <v>40</v>
      </c>
      <c r="M435">
        <v>0</v>
      </c>
      <c r="N435">
        <v>0</v>
      </c>
      <c r="O435">
        <v>0</v>
      </c>
      <c r="P435" s="10" t="s">
        <v>44</v>
      </c>
      <c r="Q435" s="10">
        <f t="array" ref="Q435">IFERROR(SUMPRODUCT((N435:P435&gt;0)*(N435:P435))/3, 0)</f>
        <v>0</v>
      </c>
      <c r="R435" s="10"/>
      <c r="S435" s="11" t="str">
        <f t="shared" si="57"/>
        <v/>
      </c>
      <c r="T435" s="7"/>
      <c r="U435" s="7"/>
      <c r="V435" s="7"/>
      <c r="W435" s="7"/>
      <c r="X435" s="7"/>
      <c r="Y435" s="7"/>
      <c r="Z435" s="15"/>
      <c r="AA435" s="15"/>
      <c r="AB435" s="11" t="str">
        <f t="shared" si="58"/>
        <v/>
      </c>
      <c r="AC435" s="11"/>
      <c r="AD435" s="11"/>
      <c r="AE435" s="11"/>
      <c r="AF435" s="11"/>
      <c r="AG435" s="11"/>
      <c r="AH435" s="11"/>
      <c r="AI435" s="11"/>
      <c r="AJ435" s="15"/>
      <c r="AK435" s="15"/>
      <c r="AL435" s="14">
        <f t="shared" si="59"/>
        <v>3</v>
      </c>
      <c r="AM435" s="11">
        <f t="shared" si="60"/>
        <v>3</v>
      </c>
      <c r="AN435" s="14">
        <f t="shared" si="61"/>
        <v>3</v>
      </c>
      <c r="AO435" s="15"/>
      <c r="AP435" s="15"/>
      <c r="AQ435" s="15"/>
    </row>
    <row r="436" spans="1:43" ht="34" hidden="1" x14ac:dyDescent="0.2">
      <c r="A436" s="7">
        <v>435</v>
      </c>
      <c r="B436" s="19" t="s">
        <v>929</v>
      </c>
      <c r="C436" s="19" t="s">
        <v>930</v>
      </c>
      <c r="D436" s="8" t="s">
        <v>34</v>
      </c>
      <c r="E436" s="19" t="s">
        <v>269</v>
      </c>
      <c r="F436" s="8" t="s">
        <v>36</v>
      </c>
      <c r="G436" s="7" t="s">
        <v>59</v>
      </c>
      <c r="H436" s="9" t="s">
        <v>44</v>
      </c>
      <c r="I436" s="10"/>
      <c r="J436" s="10" t="s">
        <v>40</v>
      </c>
      <c r="K436" s="10" t="s">
        <v>40</v>
      </c>
      <c r="L436" s="10" t="s">
        <v>40</v>
      </c>
      <c r="M436">
        <v>0</v>
      </c>
      <c r="N436">
        <v>0</v>
      </c>
      <c r="O436">
        <v>0</v>
      </c>
      <c r="P436" s="10" t="s">
        <v>44</v>
      </c>
      <c r="Q436" s="10">
        <f t="array" ref="Q436">IFERROR(SUMPRODUCT((N436:P436&gt;0)*(N436:P436))/3, 0)</f>
        <v>0</v>
      </c>
      <c r="R436" s="10"/>
      <c r="S436" s="11" t="str">
        <f t="shared" si="57"/>
        <v/>
      </c>
      <c r="T436" s="7"/>
      <c r="U436" s="7"/>
      <c r="V436" s="7"/>
      <c r="W436" s="7"/>
      <c r="X436" s="7"/>
      <c r="Y436" s="7"/>
      <c r="Z436" s="15"/>
      <c r="AA436" s="15"/>
      <c r="AB436" s="11" t="str">
        <f t="shared" si="58"/>
        <v/>
      </c>
      <c r="AC436" s="11"/>
      <c r="AD436" s="11"/>
      <c r="AE436" s="11"/>
      <c r="AF436" s="11"/>
      <c r="AG436" s="11"/>
      <c r="AH436" s="11"/>
      <c r="AI436" s="11"/>
      <c r="AJ436" s="15"/>
      <c r="AK436" s="15"/>
      <c r="AL436" s="14">
        <f t="shared" si="59"/>
        <v>3</v>
      </c>
      <c r="AM436" s="11">
        <f t="shared" si="60"/>
        <v>3</v>
      </c>
      <c r="AN436" s="14">
        <f t="shared" si="61"/>
        <v>3</v>
      </c>
      <c r="AO436" s="15"/>
      <c r="AP436" s="15"/>
      <c r="AQ436" s="15"/>
    </row>
    <row r="437" spans="1:43" ht="34" hidden="1" x14ac:dyDescent="0.2">
      <c r="A437" s="7">
        <v>436</v>
      </c>
      <c r="B437" s="19" t="s">
        <v>931</v>
      </c>
      <c r="C437" s="19" t="s">
        <v>932</v>
      </c>
      <c r="D437" s="8" t="s">
        <v>34</v>
      </c>
      <c r="E437" s="19" t="s">
        <v>269</v>
      </c>
      <c r="F437" s="8" t="s">
        <v>36</v>
      </c>
      <c r="G437" s="7" t="s">
        <v>59</v>
      </c>
      <c r="H437" s="9" t="s">
        <v>44</v>
      </c>
      <c r="I437" s="10"/>
      <c r="J437" s="10" t="s">
        <v>40</v>
      </c>
      <c r="K437" s="10" t="s">
        <v>40</v>
      </c>
      <c r="L437" s="10" t="s">
        <v>40</v>
      </c>
      <c r="M437">
        <v>0</v>
      </c>
      <c r="N437">
        <v>0</v>
      </c>
      <c r="O437">
        <v>0</v>
      </c>
      <c r="P437" s="10" t="s">
        <v>44</v>
      </c>
      <c r="Q437" s="10">
        <f t="array" ref="Q437">IFERROR(SUMPRODUCT((N437:P437&gt;0)*(N437:P437))/3, 0)</f>
        <v>0</v>
      </c>
      <c r="R437" s="10"/>
      <c r="S437" s="11" t="str">
        <f t="shared" si="57"/>
        <v/>
      </c>
      <c r="T437" s="7"/>
      <c r="U437" s="7"/>
      <c r="V437" s="7"/>
      <c r="W437" s="7"/>
      <c r="X437" s="7"/>
      <c r="Y437" s="7"/>
      <c r="Z437" s="15"/>
      <c r="AA437" s="15"/>
      <c r="AB437" s="11" t="str">
        <f t="shared" si="58"/>
        <v/>
      </c>
      <c r="AC437" s="11"/>
      <c r="AD437" s="11"/>
      <c r="AE437" s="11"/>
      <c r="AF437" s="11"/>
      <c r="AG437" s="11"/>
      <c r="AH437" s="11"/>
      <c r="AI437" s="11"/>
      <c r="AJ437" s="15"/>
      <c r="AK437" s="15"/>
      <c r="AL437" s="14">
        <f t="shared" si="59"/>
        <v>3</v>
      </c>
      <c r="AM437" s="11">
        <f t="shared" si="60"/>
        <v>3</v>
      </c>
      <c r="AN437" s="14">
        <f t="shared" si="61"/>
        <v>3</v>
      </c>
      <c r="AO437" s="15"/>
      <c r="AP437" s="15"/>
      <c r="AQ437" s="15"/>
    </row>
    <row r="438" spans="1:43" ht="34" hidden="1" x14ac:dyDescent="0.2">
      <c r="A438" s="7">
        <v>437</v>
      </c>
      <c r="B438" s="19" t="s">
        <v>933</v>
      </c>
      <c r="C438" s="19" t="s">
        <v>934</v>
      </c>
      <c r="D438" s="8" t="s">
        <v>34</v>
      </c>
      <c r="E438" s="19" t="s">
        <v>269</v>
      </c>
      <c r="F438" s="8" t="s">
        <v>36</v>
      </c>
      <c r="G438" s="7" t="s">
        <v>59</v>
      </c>
      <c r="H438" s="9" t="s">
        <v>44</v>
      </c>
      <c r="I438" s="10"/>
      <c r="J438" s="10" t="s">
        <v>40</v>
      </c>
      <c r="K438" s="10" t="s">
        <v>40</v>
      </c>
      <c r="L438" s="10" t="s">
        <v>40</v>
      </c>
      <c r="M438">
        <v>0</v>
      </c>
      <c r="N438">
        <v>0</v>
      </c>
      <c r="O438">
        <v>0</v>
      </c>
      <c r="P438" s="10" t="s">
        <v>44</v>
      </c>
      <c r="Q438" s="10">
        <f t="array" ref="Q438">IFERROR(SUMPRODUCT((N438:P438&gt;0)*(N438:P438))/3, 0)</f>
        <v>0</v>
      </c>
      <c r="R438" s="10"/>
      <c r="S438" s="11" t="str">
        <f t="shared" si="57"/>
        <v/>
      </c>
      <c r="T438" s="7"/>
      <c r="U438" s="7"/>
      <c r="V438" s="7"/>
      <c r="W438" s="7"/>
      <c r="X438" s="7"/>
      <c r="Y438" s="7"/>
      <c r="Z438" s="15"/>
      <c r="AA438" s="15"/>
      <c r="AB438" s="11" t="str">
        <f t="shared" si="58"/>
        <v/>
      </c>
      <c r="AC438" s="11"/>
      <c r="AD438" s="11"/>
      <c r="AE438" s="11"/>
      <c r="AF438" s="11"/>
      <c r="AG438" s="11"/>
      <c r="AH438" s="11"/>
      <c r="AI438" s="11"/>
      <c r="AJ438" s="15"/>
      <c r="AK438" s="15"/>
      <c r="AL438" s="14">
        <f t="shared" si="59"/>
        <v>3</v>
      </c>
      <c r="AM438" s="11">
        <f t="shared" si="60"/>
        <v>3</v>
      </c>
      <c r="AN438" s="14">
        <f t="shared" si="61"/>
        <v>3</v>
      </c>
      <c r="AO438" s="15"/>
      <c r="AP438" s="15"/>
      <c r="AQ438" s="15"/>
    </row>
    <row r="439" spans="1:43" ht="51" hidden="1" x14ac:dyDescent="0.2">
      <c r="A439" s="7">
        <v>438</v>
      </c>
      <c r="B439" s="19" t="s">
        <v>935</v>
      </c>
      <c r="C439" s="19" t="s">
        <v>936</v>
      </c>
      <c r="D439" s="8" t="s">
        <v>34</v>
      </c>
      <c r="E439" s="19" t="s">
        <v>269</v>
      </c>
      <c r="F439" s="8" t="s">
        <v>36</v>
      </c>
      <c r="G439" s="7" t="s">
        <v>59</v>
      </c>
      <c r="H439" s="9" t="s">
        <v>44</v>
      </c>
      <c r="I439" s="10"/>
      <c r="J439" s="10" t="s">
        <v>40</v>
      </c>
      <c r="K439" s="10" t="s">
        <v>40</v>
      </c>
      <c r="L439" s="10" t="s">
        <v>40</v>
      </c>
      <c r="M439">
        <v>0</v>
      </c>
      <c r="N439">
        <v>0</v>
      </c>
      <c r="O439">
        <v>0</v>
      </c>
      <c r="P439" s="10" t="s">
        <v>44</v>
      </c>
      <c r="Q439" s="10">
        <f t="array" ref="Q439">IFERROR(SUMPRODUCT((N439:P439&gt;0)*(N439:P439))/3, 0)</f>
        <v>0</v>
      </c>
      <c r="R439" s="10"/>
      <c r="S439" s="11" t="str">
        <f t="shared" si="57"/>
        <v/>
      </c>
      <c r="T439" s="7"/>
      <c r="U439" s="7"/>
      <c r="V439" s="7"/>
      <c r="W439" s="7"/>
      <c r="X439" s="7"/>
      <c r="Y439" s="7"/>
      <c r="Z439" s="15"/>
      <c r="AA439" s="15"/>
      <c r="AB439" s="11" t="str">
        <f t="shared" si="58"/>
        <v/>
      </c>
      <c r="AC439" s="11"/>
      <c r="AD439" s="11"/>
      <c r="AE439" s="11"/>
      <c r="AF439" s="11"/>
      <c r="AG439" s="11"/>
      <c r="AH439" s="11"/>
      <c r="AI439" s="11"/>
      <c r="AJ439" s="15"/>
      <c r="AK439" s="15"/>
      <c r="AL439" s="14">
        <f t="shared" si="59"/>
        <v>3</v>
      </c>
      <c r="AM439" s="11">
        <f t="shared" si="60"/>
        <v>3</v>
      </c>
      <c r="AN439" s="14">
        <f t="shared" si="61"/>
        <v>3</v>
      </c>
      <c r="AO439" s="15"/>
      <c r="AP439" s="15"/>
      <c r="AQ439" s="15"/>
    </row>
    <row r="440" spans="1:43" ht="34" hidden="1" x14ac:dyDescent="0.2">
      <c r="A440" s="7">
        <v>439</v>
      </c>
      <c r="B440" s="19" t="s">
        <v>937</v>
      </c>
      <c r="C440" s="19" t="s">
        <v>938</v>
      </c>
      <c r="D440" s="8" t="s">
        <v>34</v>
      </c>
      <c r="E440" s="19" t="s">
        <v>269</v>
      </c>
      <c r="F440" s="8" t="s">
        <v>36</v>
      </c>
      <c r="G440" s="7" t="s">
        <v>59</v>
      </c>
      <c r="H440" s="9" t="s">
        <v>44</v>
      </c>
      <c r="I440" s="10"/>
      <c r="J440" s="10" t="s">
        <v>40</v>
      </c>
      <c r="K440" s="10" t="s">
        <v>40</v>
      </c>
      <c r="L440" s="10" t="s">
        <v>40</v>
      </c>
      <c r="M440">
        <v>0</v>
      </c>
      <c r="N440">
        <v>0</v>
      </c>
      <c r="O440">
        <v>0</v>
      </c>
      <c r="P440" s="10" t="s">
        <v>44</v>
      </c>
      <c r="Q440" s="10">
        <f t="array" ref="Q440">IFERROR(SUMPRODUCT((N440:P440&gt;0)*(N440:P440))/3, 0)</f>
        <v>0</v>
      </c>
      <c r="R440" s="10"/>
      <c r="S440" s="11" t="str">
        <f t="shared" si="57"/>
        <v/>
      </c>
      <c r="T440" s="7"/>
      <c r="U440" s="7"/>
      <c r="V440" s="7"/>
      <c r="W440" s="7"/>
      <c r="X440" s="7"/>
      <c r="Y440" s="7"/>
      <c r="Z440" s="15"/>
      <c r="AA440" s="15"/>
      <c r="AB440" s="11" t="str">
        <f t="shared" si="58"/>
        <v/>
      </c>
      <c r="AC440" s="11"/>
      <c r="AD440" s="11"/>
      <c r="AE440" s="11"/>
      <c r="AF440" s="11"/>
      <c r="AG440" s="11"/>
      <c r="AH440" s="11"/>
      <c r="AI440" s="11"/>
      <c r="AJ440" s="15"/>
      <c r="AK440" s="15"/>
      <c r="AL440" s="14">
        <f t="shared" si="59"/>
        <v>3</v>
      </c>
      <c r="AM440" s="11">
        <f t="shared" si="60"/>
        <v>3</v>
      </c>
      <c r="AN440" s="14">
        <f t="shared" si="61"/>
        <v>3</v>
      </c>
      <c r="AO440" s="15"/>
      <c r="AP440" s="15"/>
      <c r="AQ440" s="15"/>
    </row>
    <row r="441" spans="1:43" ht="51" hidden="1" x14ac:dyDescent="0.2">
      <c r="A441" s="7">
        <v>440</v>
      </c>
      <c r="B441" s="19" t="s">
        <v>939</v>
      </c>
      <c r="C441" s="19" t="s">
        <v>940</v>
      </c>
      <c r="D441" s="8" t="s">
        <v>34</v>
      </c>
      <c r="E441" s="19" t="s">
        <v>269</v>
      </c>
      <c r="F441" s="8" t="s">
        <v>36</v>
      </c>
      <c r="G441" s="7" t="s">
        <v>59</v>
      </c>
      <c r="H441" s="9" t="s">
        <v>44</v>
      </c>
      <c r="I441" s="10"/>
      <c r="J441" s="10" t="s">
        <v>40</v>
      </c>
      <c r="K441" s="10" t="s">
        <v>40</v>
      </c>
      <c r="L441" s="10" t="s">
        <v>40</v>
      </c>
      <c r="M441">
        <v>0</v>
      </c>
      <c r="N441">
        <v>0</v>
      </c>
      <c r="O441">
        <v>0</v>
      </c>
      <c r="P441" s="10" t="s">
        <v>44</v>
      </c>
      <c r="Q441" s="10">
        <f t="array" ref="Q441">IFERROR(SUMPRODUCT((N441:P441&gt;0)*(N441:P441))/3, 0)</f>
        <v>0</v>
      </c>
      <c r="R441" s="10"/>
      <c r="S441" s="11" t="str">
        <f t="shared" si="57"/>
        <v/>
      </c>
      <c r="T441" s="7"/>
      <c r="U441" s="7"/>
      <c r="V441" s="7"/>
      <c r="W441" s="7"/>
      <c r="X441" s="7"/>
      <c r="Y441" s="7"/>
      <c r="Z441" s="15"/>
      <c r="AA441" s="15"/>
      <c r="AB441" s="11" t="str">
        <f t="shared" si="58"/>
        <v/>
      </c>
      <c r="AC441" s="11"/>
      <c r="AD441" s="11"/>
      <c r="AE441" s="11"/>
      <c r="AF441" s="11"/>
      <c r="AG441" s="11"/>
      <c r="AH441" s="11"/>
      <c r="AI441" s="11"/>
      <c r="AJ441" s="15"/>
      <c r="AK441" s="15"/>
      <c r="AL441" s="14">
        <f t="shared" si="59"/>
        <v>3</v>
      </c>
      <c r="AM441" s="11">
        <f t="shared" si="60"/>
        <v>3</v>
      </c>
      <c r="AN441" s="14">
        <f t="shared" si="61"/>
        <v>3</v>
      </c>
      <c r="AO441" s="15"/>
      <c r="AP441" s="15"/>
      <c r="AQ441" s="15"/>
    </row>
    <row r="442" spans="1:43" ht="34" hidden="1" x14ac:dyDescent="0.2">
      <c r="A442" s="7">
        <v>441</v>
      </c>
      <c r="B442" s="19" t="s">
        <v>941</v>
      </c>
      <c r="C442" s="19" t="s">
        <v>942</v>
      </c>
      <c r="D442" s="8" t="s">
        <v>34</v>
      </c>
      <c r="E442" s="19" t="s">
        <v>269</v>
      </c>
      <c r="F442" s="8" t="s">
        <v>36</v>
      </c>
      <c r="G442" s="7" t="s">
        <v>59</v>
      </c>
      <c r="H442" s="9" t="s">
        <v>44</v>
      </c>
      <c r="I442" s="10"/>
      <c r="J442" s="10" t="s">
        <v>40</v>
      </c>
      <c r="K442" s="10" t="s">
        <v>40</v>
      </c>
      <c r="L442" s="10" t="s">
        <v>40</v>
      </c>
      <c r="M442">
        <v>0</v>
      </c>
      <c r="N442">
        <v>0</v>
      </c>
      <c r="O442">
        <v>0</v>
      </c>
      <c r="P442" s="10" t="s">
        <v>44</v>
      </c>
      <c r="Q442" s="10">
        <f t="array" ref="Q442">IFERROR(SUMPRODUCT((N442:P442&gt;0)*(N442:P442))/3, 0)</f>
        <v>0</v>
      </c>
      <c r="R442" s="10"/>
      <c r="S442" s="11" t="str">
        <f t="shared" si="57"/>
        <v/>
      </c>
      <c r="T442" s="7"/>
      <c r="U442" s="7"/>
      <c r="V442" s="7"/>
      <c r="W442" s="7"/>
      <c r="X442" s="7"/>
      <c r="Y442" s="7"/>
      <c r="Z442" s="15"/>
      <c r="AA442" s="15"/>
      <c r="AB442" s="11" t="str">
        <f t="shared" si="58"/>
        <v/>
      </c>
      <c r="AC442" s="11"/>
      <c r="AD442" s="11"/>
      <c r="AE442" s="11"/>
      <c r="AF442" s="11"/>
      <c r="AG442" s="11"/>
      <c r="AH442" s="11"/>
      <c r="AI442" s="11"/>
      <c r="AJ442" s="15"/>
      <c r="AK442" s="15"/>
      <c r="AL442" s="14">
        <f t="shared" si="59"/>
        <v>3</v>
      </c>
      <c r="AM442" s="11">
        <f t="shared" si="60"/>
        <v>3</v>
      </c>
      <c r="AN442" s="14">
        <f t="shared" si="61"/>
        <v>3</v>
      </c>
      <c r="AO442" s="15"/>
      <c r="AP442" s="15"/>
      <c r="AQ442" s="15"/>
    </row>
    <row r="443" spans="1:43" ht="51" hidden="1" x14ac:dyDescent="0.2">
      <c r="A443" s="7">
        <v>442</v>
      </c>
      <c r="B443" s="19" t="s">
        <v>943</v>
      </c>
      <c r="C443" s="19" t="s">
        <v>944</v>
      </c>
      <c r="D443" s="8" t="s">
        <v>34</v>
      </c>
      <c r="E443" s="19" t="s">
        <v>269</v>
      </c>
      <c r="F443" s="8" t="s">
        <v>36</v>
      </c>
      <c r="G443" s="7" t="s">
        <v>59</v>
      </c>
      <c r="H443" s="9" t="s">
        <v>44</v>
      </c>
      <c r="I443" s="10"/>
      <c r="J443" s="10" t="s">
        <v>40</v>
      </c>
      <c r="K443" s="10" t="s">
        <v>40</v>
      </c>
      <c r="L443" s="10" t="s">
        <v>40</v>
      </c>
      <c r="M443">
        <v>0</v>
      </c>
      <c r="N443">
        <v>0</v>
      </c>
      <c r="O443">
        <v>0</v>
      </c>
      <c r="P443" s="10" t="s">
        <v>44</v>
      </c>
      <c r="Q443" s="10">
        <f t="array" ref="Q443">IFERROR(SUMPRODUCT((N443:P443&gt;0)*(N443:P443))/3, 0)</f>
        <v>0</v>
      </c>
      <c r="R443" s="10"/>
      <c r="S443" s="11" t="str">
        <f t="shared" si="57"/>
        <v/>
      </c>
      <c r="T443" s="7"/>
      <c r="U443" s="7"/>
      <c r="V443" s="7"/>
      <c r="W443" s="7"/>
      <c r="X443" s="7"/>
      <c r="Y443" s="7"/>
      <c r="Z443" s="15"/>
      <c r="AA443" s="15"/>
      <c r="AB443" s="11" t="str">
        <f t="shared" si="58"/>
        <v/>
      </c>
      <c r="AC443" s="11"/>
      <c r="AD443" s="11"/>
      <c r="AE443" s="11"/>
      <c r="AF443" s="11"/>
      <c r="AG443" s="11"/>
      <c r="AH443" s="11"/>
      <c r="AI443" s="11"/>
      <c r="AJ443" s="15"/>
      <c r="AK443" s="15"/>
      <c r="AL443" s="14">
        <f t="shared" si="59"/>
        <v>3</v>
      </c>
      <c r="AM443" s="11">
        <f t="shared" si="60"/>
        <v>3</v>
      </c>
      <c r="AN443" s="14">
        <f t="shared" si="61"/>
        <v>3</v>
      </c>
      <c r="AO443" s="15"/>
      <c r="AP443" s="15"/>
      <c r="AQ443" s="15"/>
    </row>
    <row r="444" spans="1:43" ht="34" hidden="1" x14ac:dyDescent="0.2">
      <c r="A444" s="7">
        <v>443</v>
      </c>
      <c r="B444" s="19" t="s">
        <v>945</v>
      </c>
      <c r="C444" s="19" t="s">
        <v>946</v>
      </c>
      <c r="D444" s="8" t="s">
        <v>34</v>
      </c>
      <c r="E444" s="19" t="s">
        <v>269</v>
      </c>
      <c r="F444" s="8" t="s">
        <v>36</v>
      </c>
      <c r="G444" s="7" t="s">
        <v>59</v>
      </c>
      <c r="H444" s="9" t="s">
        <v>44</v>
      </c>
      <c r="I444" s="10"/>
      <c r="J444" s="10" t="s">
        <v>40</v>
      </c>
      <c r="K444" s="10" t="s">
        <v>40</v>
      </c>
      <c r="L444" s="10" t="s">
        <v>40</v>
      </c>
      <c r="M444">
        <v>0</v>
      </c>
      <c r="N444">
        <v>0</v>
      </c>
      <c r="O444">
        <v>0</v>
      </c>
      <c r="P444" s="10" t="s">
        <v>44</v>
      </c>
      <c r="Q444" s="10">
        <f t="array" ref="Q444">IFERROR(SUMPRODUCT((N444:P444&gt;0)*(N444:P444))/3, 0)</f>
        <v>0</v>
      </c>
      <c r="R444" s="10"/>
      <c r="S444" s="11" t="str">
        <f t="shared" si="57"/>
        <v/>
      </c>
      <c r="T444" s="7"/>
      <c r="U444" s="7"/>
      <c r="V444" s="7"/>
      <c r="W444" s="7"/>
      <c r="X444" s="7"/>
      <c r="Y444" s="7"/>
      <c r="Z444" s="15"/>
      <c r="AA444" s="15"/>
      <c r="AB444" s="11" t="str">
        <f t="shared" si="58"/>
        <v/>
      </c>
      <c r="AC444" s="11"/>
      <c r="AD444" s="11"/>
      <c r="AE444" s="11"/>
      <c r="AF444" s="11"/>
      <c r="AG444" s="11"/>
      <c r="AH444" s="11"/>
      <c r="AI444" s="11"/>
      <c r="AJ444" s="15"/>
      <c r="AK444" s="15"/>
      <c r="AL444" s="14">
        <f t="shared" si="59"/>
        <v>3</v>
      </c>
      <c r="AM444" s="11">
        <f t="shared" si="60"/>
        <v>3</v>
      </c>
      <c r="AN444" s="14">
        <f t="shared" si="61"/>
        <v>3</v>
      </c>
      <c r="AO444" s="15"/>
      <c r="AP444" s="15"/>
      <c r="AQ444" s="15"/>
    </row>
    <row r="445" spans="1:43" ht="51" hidden="1" x14ac:dyDescent="0.2">
      <c r="A445" s="7">
        <v>444</v>
      </c>
      <c r="B445" s="19" t="s">
        <v>947</v>
      </c>
      <c r="C445" s="19" t="s">
        <v>948</v>
      </c>
      <c r="D445" s="8" t="s">
        <v>34</v>
      </c>
      <c r="E445" s="19" t="s">
        <v>269</v>
      </c>
      <c r="F445" s="8" t="s">
        <v>36</v>
      </c>
      <c r="G445" s="7" t="s">
        <v>59</v>
      </c>
      <c r="H445" s="9" t="s">
        <v>44</v>
      </c>
      <c r="I445" s="10"/>
      <c r="J445" s="10" t="s">
        <v>40</v>
      </c>
      <c r="K445" s="10" t="s">
        <v>40</v>
      </c>
      <c r="L445" s="10" t="s">
        <v>40</v>
      </c>
      <c r="M445">
        <v>0</v>
      </c>
      <c r="N445">
        <v>0</v>
      </c>
      <c r="O445">
        <v>0</v>
      </c>
      <c r="P445" s="10" t="s">
        <v>44</v>
      </c>
      <c r="Q445" s="10">
        <f t="array" ref="Q445">IFERROR(SUMPRODUCT((N445:P445&gt;0)*(N445:P445))/3, 0)</f>
        <v>0</v>
      </c>
      <c r="R445" s="10"/>
      <c r="S445" s="11" t="str">
        <f t="shared" si="57"/>
        <v/>
      </c>
      <c r="T445" s="7"/>
      <c r="U445" s="7"/>
      <c r="V445" s="7"/>
      <c r="W445" s="7"/>
      <c r="X445" s="7"/>
      <c r="Y445" s="7"/>
      <c r="Z445" s="15"/>
      <c r="AA445" s="15"/>
      <c r="AB445" s="11" t="str">
        <f t="shared" si="58"/>
        <v/>
      </c>
      <c r="AC445" s="11"/>
      <c r="AD445" s="11"/>
      <c r="AE445" s="11"/>
      <c r="AF445" s="11"/>
      <c r="AG445" s="11"/>
      <c r="AH445" s="11"/>
      <c r="AI445" s="11"/>
      <c r="AJ445" s="15"/>
      <c r="AK445" s="15"/>
      <c r="AL445" s="14">
        <f t="shared" si="59"/>
        <v>3</v>
      </c>
      <c r="AM445" s="11">
        <f t="shared" si="60"/>
        <v>3</v>
      </c>
      <c r="AN445" s="14">
        <f t="shared" si="61"/>
        <v>3</v>
      </c>
      <c r="AO445" s="15"/>
      <c r="AP445" s="15"/>
      <c r="AQ445" s="15"/>
    </row>
    <row r="446" spans="1:43" ht="34" hidden="1" x14ac:dyDescent="0.2">
      <c r="A446" s="7">
        <v>445</v>
      </c>
      <c r="B446" s="19" t="s">
        <v>949</v>
      </c>
      <c r="C446" s="19" t="s">
        <v>950</v>
      </c>
      <c r="D446" s="8" t="s">
        <v>34</v>
      </c>
      <c r="E446" s="19" t="s">
        <v>269</v>
      </c>
      <c r="F446" s="8" t="s">
        <v>36</v>
      </c>
      <c r="G446" s="7" t="s">
        <v>59</v>
      </c>
      <c r="H446" s="9" t="s">
        <v>44</v>
      </c>
      <c r="I446" s="10"/>
      <c r="J446" s="10" t="s">
        <v>40</v>
      </c>
      <c r="K446" s="10" t="s">
        <v>40</v>
      </c>
      <c r="L446" s="10" t="s">
        <v>40</v>
      </c>
      <c r="M446">
        <v>0</v>
      </c>
      <c r="N446">
        <v>0</v>
      </c>
      <c r="O446">
        <v>0</v>
      </c>
      <c r="P446" s="10" t="s">
        <v>44</v>
      </c>
      <c r="Q446" s="10">
        <f t="array" ref="Q446">IFERROR(SUMPRODUCT((N446:P446&gt;0)*(N446:P446))/3, 0)</f>
        <v>0</v>
      </c>
      <c r="R446" s="10"/>
      <c r="S446" s="11" t="str">
        <f t="shared" si="57"/>
        <v/>
      </c>
      <c r="T446" s="7"/>
      <c r="U446" s="7"/>
      <c r="V446" s="7"/>
      <c r="W446" s="7"/>
      <c r="X446" s="7"/>
      <c r="Y446" s="7"/>
      <c r="Z446" s="15"/>
      <c r="AA446" s="15"/>
      <c r="AB446" s="11" t="str">
        <f t="shared" si="58"/>
        <v/>
      </c>
      <c r="AC446" s="11"/>
      <c r="AD446" s="11"/>
      <c r="AE446" s="11"/>
      <c r="AF446" s="11"/>
      <c r="AG446" s="11"/>
      <c r="AH446" s="11"/>
      <c r="AI446" s="11"/>
      <c r="AJ446" s="15"/>
      <c r="AK446" s="15"/>
      <c r="AL446" s="14">
        <f t="shared" si="59"/>
        <v>3</v>
      </c>
      <c r="AM446" s="11">
        <f t="shared" si="60"/>
        <v>3</v>
      </c>
      <c r="AN446" s="14">
        <f t="shared" si="61"/>
        <v>3</v>
      </c>
      <c r="AO446" s="15"/>
      <c r="AP446" s="15"/>
      <c r="AQ446" s="15"/>
    </row>
    <row r="447" spans="1:43" ht="34" hidden="1" x14ac:dyDescent="0.2">
      <c r="A447" s="7">
        <v>446</v>
      </c>
      <c r="B447" s="19" t="s">
        <v>951</v>
      </c>
      <c r="C447" s="19" t="s">
        <v>952</v>
      </c>
      <c r="D447" s="8" t="s">
        <v>34</v>
      </c>
      <c r="E447" s="19" t="s">
        <v>269</v>
      </c>
      <c r="F447" s="8" t="s">
        <v>36</v>
      </c>
      <c r="G447" s="7" t="s">
        <v>59</v>
      </c>
      <c r="H447" s="9" t="s">
        <v>44</v>
      </c>
      <c r="I447" s="10"/>
      <c r="J447" s="10" t="s">
        <v>40</v>
      </c>
      <c r="K447" s="10" t="s">
        <v>40</v>
      </c>
      <c r="L447" s="10" t="s">
        <v>40</v>
      </c>
      <c r="M447">
        <v>0</v>
      </c>
      <c r="N447">
        <v>0</v>
      </c>
      <c r="O447">
        <v>0</v>
      </c>
      <c r="P447" s="10" t="s">
        <v>44</v>
      </c>
      <c r="Q447" s="10">
        <f t="array" ref="Q447">IFERROR(SUMPRODUCT((N447:P447&gt;0)*(N447:P447))/3, 0)</f>
        <v>0</v>
      </c>
      <c r="R447" s="10"/>
      <c r="S447" s="11" t="str">
        <f t="shared" si="57"/>
        <v/>
      </c>
      <c r="T447" s="7"/>
      <c r="U447" s="7"/>
      <c r="V447" s="7"/>
      <c r="W447" s="7"/>
      <c r="X447" s="7"/>
      <c r="Y447" s="7"/>
      <c r="Z447" s="15"/>
      <c r="AA447" s="15"/>
      <c r="AB447" s="11" t="str">
        <f t="shared" si="58"/>
        <v/>
      </c>
      <c r="AC447" s="11"/>
      <c r="AD447" s="11"/>
      <c r="AE447" s="11"/>
      <c r="AF447" s="11"/>
      <c r="AG447" s="11"/>
      <c r="AH447" s="11"/>
      <c r="AI447" s="11"/>
      <c r="AJ447" s="15"/>
      <c r="AK447" s="15"/>
      <c r="AL447" s="14">
        <f t="shared" si="59"/>
        <v>3</v>
      </c>
      <c r="AM447" s="11">
        <f t="shared" si="60"/>
        <v>3</v>
      </c>
      <c r="AN447" s="14">
        <f t="shared" si="61"/>
        <v>3</v>
      </c>
      <c r="AO447" s="15"/>
      <c r="AP447" s="15"/>
      <c r="AQ447" s="15"/>
    </row>
    <row r="448" spans="1:43" ht="51" hidden="1" x14ac:dyDescent="0.2">
      <c r="A448" s="7">
        <v>447</v>
      </c>
      <c r="B448" s="19" t="s">
        <v>953</v>
      </c>
      <c r="C448" s="19" t="s">
        <v>954</v>
      </c>
      <c r="D448" s="8" t="s">
        <v>34</v>
      </c>
      <c r="E448" s="19" t="s">
        <v>269</v>
      </c>
      <c r="F448" s="8" t="s">
        <v>36</v>
      </c>
      <c r="G448" s="7" t="s">
        <v>59</v>
      </c>
      <c r="H448" s="9" t="s">
        <v>44</v>
      </c>
      <c r="I448" s="10"/>
      <c r="J448" s="10" t="s">
        <v>40</v>
      </c>
      <c r="K448" s="10" t="s">
        <v>40</v>
      </c>
      <c r="L448" s="10" t="s">
        <v>40</v>
      </c>
      <c r="M448">
        <v>0</v>
      </c>
      <c r="N448">
        <v>0</v>
      </c>
      <c r="O448">
        <v>0</v>
      </c>
      <c r="P448" s="10" t="s">
        <v>44</v>
      </c>
      <c r="Q448" s="10">
        <f t="array" ref="Q448">IFERROR(SUMPRODUCT((N448:P448&gt;0)*(N448:P448))/3, 0)</f>
        <v>0</v>
      </c>
      <c r="R448" s="10"/>
      <c r="S448" s="11" t="str">
        <f t="shared" si="57"/>
        <v/>
      </c>
      <c r="T448" s="7"/>
      <c r="U448" s="7"/>
      <c r="V448" s="7"/>
      <c r="W448" s="7"/>
      <c r="X448" s="7"/>
      <c r="Y448" s="7"/>
      <c r="Z448" s="15"/>
      <c r="AA448" s="15"/>
      <c r="AB448" s="11" t="str">
        <f t="shared" si="58"/>
        <v/>
      </c>
      <c r="AC448" s="11"/>
      <c r="AD448" s="11"/>
      <c r="AE448" s="11"/>
      <c r="AF448" s="11"/>
      <c r="AG448" s="11"/>
      <c r="AH448" s="11"/>
      <c r="AI448" s="11"/>
      <c r="AJ448" s="15"/>
      <c r="AK448" s="15"/>
      <c r="AL448" s="14">
        <f t="shared" si="59"/>
        <v>3</v>
      </c>
      <c r="AM448" s="11">
        <f t="shared" si="60"/>
        <v>3</v>
      </c>
      <c r="AN448" s="14">
        <f t="shared" si="61"/>
        <v>3</v>
      </c>
      <c r="AO448" s="15"/>
      <c r="AP448" s="15"/>
      <c r="AQ448" s="15"/>
    </row>
    <row r="449" spans="1:43" ht="34" hidden="1" x14ac:dyDescent="0.2">
      <c r="A449" s="7">
        <v>448</v>
      </c>
      <c r="B449" s="19" t="s">
        <v>955</v>
      </c>
      <c r="C449" s="19" t="s">
        <v>956</v>
      </c>
      <c r="D449" s="8" t="s">
        <v>34</v>
      </c>
      <c r="E449" s="19" t="s">
        <v>269</v>
      </c>
      <c r="F449" s="8" t="s">
        <v>36</v>
      </c>
      <c r="G449" s="7" t="s">
        <v>59</v>
      </c>
      <c r="H449" s="9" t="s">
        <v>44</v>
      </c>
      <c r="I449" s="10"/>
      <c r="J449" s="10" t="s">
        <v>40</v>
      </c>
      <c r="K449" s="10" t="s">
        <v>40</v>
      </c>
      <c r="L449" s="10" t="s">
        <v>40</v>
      </c>
      <c r="M449">
        <v>0</v>
      </c>
      <c r="N449">
        <v>0</v>
      </c>
      <c r="O449">
        <v>0</v>
      </c>
      <c r="P449" s="10" t="s">
        <v>44</v>
      </c>
      <c r="Q449" s="10">
        <f t="array" ref="Q449">IFERROR(SUMPRODUCT((N449:P449&gt;0)*(N449:P449))/3, 0)</f>
        <v>0</v>
      </c>
      <c r="R449" s="10"/>
      <c r="S449" s="11" t="str">
        <f t="shared" si="57"/>
        <v/>
      </c>
      <c r="T449" s="7"/>
      <c r="U449" s="7"/>
      <c r="V449" s="7"/>
      <c r="W449" s="7"/>
      <c r="X449" s="7"/>
      <c r="Y449" s="7"/>
      <c r="Z449" s="15"/>
      <c r="AA449" s="15"/>
      <c r="AB449" s="11" t="str">
        <f t="shared" si="58"/>
        <v/>
      </c>
      <c r="AC449" s="11"/>
      <c r="AD449" s="11"/>
      <c r="AE449" s="11"/>
      <c r="AF449" s="11"/>
      <c r="AG449" s="11"/>
      <c r="AH449" s="11"/>
      <c r="AI449" s="11"/>
      <c r="AJ449" s="15"/>
      <c r="AK449" s="15"/>
      <c r="AL449" s="14">
        <f t="shared" si="59"/>
        <v>3</v>
      </c>
      <c r="AM449" s="11">
        <f t="shared" si="60"/>
        <v>3</v>
      </c>
      <c r="AN449" s="14">
        <f t="shared" si="61"/>
        <v>3</v>
      </c>
      <c r="AO449" s="15"/>
      <c r="AP449" s="15"/>
      <c r="AQ449" s="15"/>
    </row>
    <row r="450" spans="1:43" ht="34" hidden="1" x14ac:dyDescent="0.2">
      <c r="A450" s="7">
        <v>449</v>
      </c>
      <c r="B450" s="19" t="s">
        <v>957</v>
      </c>
      <c r="C450" s="19" t="s">
        <v>958</v>
      </c>
      <c r="D450" s="8" t="s">
        <v>34</v>
      </c>
      <c r="E450" s="19" t="s">
        <v>269</v>
      </c>
      <c r="F450" s="8" t="s">
        <v>36</v>
      </c>
      <c r="G450" s="7" t="s">
        <v>59</v>
      </c>
      <c r="H450" s="9" t="s">
        <v>44</v>
      </c>
      <c r="I450" s="10"/>
      <c r="J450" s="10" t="s">
        <v>40</v>
      </c>
      <c r="K450" s="10" t="s">
        <v>40</v>
      </c>
      <c r="L450" s="10" t="s">
        <v>40</v>
      </c>
      <c r="M450">
        <v>0</v>
      </c>
      <c r="N450">
        <v>0</v>
      </c>
      <c r="O450">
        <v>0</v>
      </c>
      <c r="P450" s="10" t="s">
        <v>44</v>
      </c>
      <c r="Q450" s="10">
        <f t="array" ref="Q450">IFERROR(SUMPRODUCT((N450:P450&gt;0)*(N450:P450))/3, 0)</f>
        <v>0</v>
      </c>
      <c r="R450" s="10"/>
      <c r="S450" s="11" t="str">
        <f t="shared" si="57"/>
        <v/>
      </c>
      <c r="T450" s="7"/>
      <c r="U450" s="7"/>
      <c r="V450" s="7"/>
      <c r="W450" s="7"/>
      <c r="X450" s="7"/>
      <c r="Y450" s="7"/>
      <c r="Z450" s="15"/>
      <c r="AA450" s="15"/>
      <c r="AB450" s="11" t="str">
        <f t="shared" si="58"/>
        <v/>
      </c>
      <c r="AC450" s="11"/>
      <c r="AD450" s="11"/>
      <c r="AE450" s="11"/>
      <c r="AF450" s="11"/>
      <c r="AG450" s="11"/>
      <c r="AH450" s="11"/>
      <c r="AI450" s="11"/>
      <c r="AJ450" s="15"/>
      <c r="AK450" s="15"/>
      <c r="AL450" s="14">
        <f t="shared" si="59"/>
        <v>3</v>
      </c>
      <c r="AM450" s="11">
        <f t="shared" si="60"/>
        <v>3</v>
      </c>
      <c r="AN450" s="14">
        <f t="shared" si="61"/>
        <v>3</v>
      </c>
      <c r="AO450" s="15"/>
      <c r="AP450" s="15"/>
      <c r="AQ450" s="15"/>
    </row>
    <row r="451" spans="1:43" ht="51" hidden="1" x14ac:dyDescent="0.2">
      <c r="A451" s="7">
        <v>450</v>
      </c>
      <c r="B451" s="19" t="s">
        <v>959</v>
      </c>
      <c r="C451" s="19" t="s">
        <v>960</v>
      </c>
      <c r="D451" s="8" t="s">
        <v>34</v>
      </c>
      <c r="E451" s="19" t="s">
        <v>269</v>
      </c>
      <c r="F451" s="8" t="s">
        <v>36</v>
      </c>
      <c r="G451" s="7" t="s">
        <v>59</v>
      </c>
      <c r="H451" s="9" t="s">
        <v>44</v>
      </c>
      <c r="I451" s="10"/>
      <c r="J451" s="10" t="s">
        <v>40</v>
      </c>
      <c r="K451" s="10" t="s">
        <v>40</v>
      </c>
      <c r="L451" s="10" t="s">
        <v>40</v>
      </c>
      <c r="M451">
        <v>0</v>
      </c>
      <c r="N451">
        <v>0</v>
      </c>
      <c r="O451">
        <v>0</v>
      </c>
      <c r="P451" s="10" t="s">
        <v>44</v>
      </c>
      <c r="Q451" s="10">
        <f t="array" ref="Q451">IFERROR(SUMPRODUCT((N451:P451&gt;0)*(N451:P451))/3, 0)</f>
        <v>0</v>
      </c>
      <c r="R451" s="10"/>
      <c r="S451" s="11" t="str">
        <f t="shared" ref="S451:S514" si="62">IF(Q451&gt;0,LOG10(Q451+1),"")</f>
        <v/>
      </c>
      <c r="T451" s="7"/>
      <c r="U451" s="7"/>
      <c r="V451" s="7"/>
      <c r="W451" s="7"/>
      <c r="X451" s="7"/>
      <c r="Y451" s="7"/>
      <c r="Z451" s="15"/>
      <c r="AA451" s="15"/>
      <c r="AB451" s="11" t="str">
        <f t="shared" ref="AB451:AB514" si="63">IF(AA451&gt;0,LOG10(AA451+1),"")</f>
        <v/>
      </c>
      <c r="AC451" s="11"/>
      <c r="AD451" s="11"/>
      <c r="AE451" s="11"/>
      <c r="AF451" s="11"/>
      <c r="AG451" s="11"/>
      <c r="AH451" s="11"/>
      <c r="AI451" s="11"/>
      <c r="AJ451" s="15"/>
      <c r="AK451" s="15"/>
      <c r="AL451" s="14">
        <f t="shared" ref="AL451:AL514" si="64">IF(W451&gt;=5,9,IF(W451 &gt;=3,7,IF(W451=0,3,5)))</f>
        <v>3</v>
      </c>
      <c r="AM451" s="11">
        <f t="shared" ref="AM451:AM514" si="65">IF(I451&lt;4,3,IF(I451&lt;6,5,IF(I451&lt;11,7,9)))</f>
        <v>3</v>
      </c>
      <c r="AN451" s="14">
        <f t="shared" ref="AN451:AN514" si="66">IF(AB451=0,"3",
 IF(AB451="",3,
 IF(AB451&lt;=_xlfn.PERCENTILE.INC($AB$2:$AB$105,0.25),3,
 IF(AB451&lt;=_xlfn.PERCENTILE.INC($AB$2:$AB$105,0.5),5,
 IF(AB451&lt;=_xlfn.PERCENTILE.INC($AB$2:$AB$105,0.75),7,
 9)))))</f>
        <v>3</v>
      </c>
      <c r="AO451" s="15"/>
      <c r="AP451" s="15"/>
      <c r="AQ451" s="15"/>
    </row>
    <row r="452" spans="1:43" ht="51" hidden="1" x14ac:dyDescent="0.2">
      <c r="A452" s="7">
        <v>451</v>
      </c>
      <c r="B452" s="19" t="s">
        <v>961</v>
      </c>
      <c r="C452" s="19" t="s">
        <v>962</v>
      </c>
      <c r="D452" s="8" t="s">
        <v>34</v>
      </c>
      <c r="E452" s="19" t="s">
        <v>269</v>
      </c>
      <c r="F452" s="8" t="s">
        <v>36</v>
      </c>
      <c r="G452" s="7" t="s">
        <v>59</v>
      </c>
      <c r="H452" s="9" t="s">
        <v>44</v>
      </c>
      <c r="I452" s="10"/>
      <c r="J452" s="10" t="s">
        <v>40</v>
      </c>
      <c r="K452" s="10" t="s">
        <v>40</v>
      </c>
      <c r="L452" s="10" t="s">
        <v>40</v>
      </c>
      <c r="M452">
        <v>0</v>
      </c>
      <c r="N452">
        <v>0</v>
      </c>
      <c r="O452">
        <v>0</v>
      </c>
      <c r="P452" s="10" t="s">
        <v>44</v>
      </c>
      <c r="Q452" s="10">
        <f t="array" ref="Q452">IFERROR(SUMPRODUCT((N452:P452&gt;0)*(N452:P452))/3, 0)</f>
        <v>0</v>
      </c>
      <c r="R452" s="10"/>
      <c r="S452" s="11" t="str">
        <f t="shared" si="62"/>
        <v/>
      </c>
      <c r="T452" s="7"/>
      <c r="U452" s="7"/>
      <c r="V452" s="7"/>
      <c r="W452" s="7"/>
      <c r="X452" s="7"/>
      <c r="Y452" s="7"/>
      <c r="Z452" s="15"/>
      <c r="AA452" s="15"/>
      <c r="AB452" s="11" t="str">
        <f t="shared" si="63"/>
        <v/>
      </c>
      <c r="AC452" s="11"/>
      <c r="AD452" s="11"/>
      <c r="AE452" s="11"/>
      <c r="AF452" s="11"/>
      <c r="AG452" s="11"/>
      <c r="AH452" s="11"/>
      <c r="AI452" s="11"/>
      <c r="AJ452" s="15"/>
      <c r="AK452" s="15"/>
      <c r="AL452" s="14">
        <f t="shared" si="64"/>
        <v>3</v>
      </c>
      <c r="AM452" s="11">
        <f t="shared" si="65"/>
        <v>3</v>
      </c>
      <c r="AN452" s="14">
        <f t="shared" si="66"/>
        <v>3</v>
      </c>
      <c r="AO452" s="15"/>
      <c r="AP452" s="15"/>
      <c r="AQ452" s="15"/>
    </row>
    <row r="453" spans="1:43" ht="51" hidden="1" x14ac:dyDescent="0.2">
      <c r="A453" s="7">
        <v>452</v>
      </c>
      <c r="B453" s="19" t="s">
        <v>963</v>
      </c>
      <c r="C453" s="19" t="s">
        <v>964</v>
      </c>
      <c r="D453" s="8" t="s">
        <v>34</v>
      </c>
      <c r="E453" s="19" t="s">
        <v>269</v>
      </c>
      <c r="F453" s="8" t="s">
        <v>36</v>
      </c>
      <c r="G453" s="7" t="s">
        <v>59</v>
      </c>
      <c r="H453" s="9" t="s">
        <v>44</v>
      </c>
      <c r="I453" s="10"/>
      <c r="J453" s="10" t="s">
        <v>40</v>
      </c>
      <c r="K453" s="10" t="s">
        <v>40</v>
      </c>
      <c r="L453" s="10" t="s">
        <v>40</v>
      </c>
      <c r="M453">
        <v>0</v>
      </c>
      <c r="N453">
        <v>0</v>
      </c>
      <c r="O453">
        <v>0</v>
      </c>
      <c r="P453" s="10" t="s">
        <v>44</v>
      </c>
      <c r="Q453" s="10">
        <f t="array" ref="Q453">IFERROR(SUMPRODUCT((N453:P453&gt;0)*(N453:P453))/3, 0)</f>
        <v>0</v>
      </c>
      <c r="R453" s="10"/>
      <c r="S453" s="11" t="str">
        <f t="shared" si="62"/>
        <v/>
      </c>
      <c r="T453" s="7"/>
      <c r="U453" s="7"/>
      <c r="V453" s="7"/>
      <c r="W453" s="7"/>
      <c r="X453" s="7"/>
      <c r="Y453" s="7"/>
      <c r="Z453" s="15"/>
      <c r="AA453" s="15"/>
      <c r="AB453" s="11" t="str">
        <f t="shared" si="63"/>
        <v/>
      </c>
      <c r="AC453" s="11"/>
      <c r="AD453" s="11"/>
      <c r="AE453" s="11"/>
      <c r="AF453" s="11"/>
      <c r="AG453" s="11"/>
      <c r="AH453" s="11"/>
      <c r="AI453" s="11"/>
      <c r="AJ453" s="15"/>
      <c r="AK453" s="15"/>
      <c r="AL453" s="14">
        <f t="shared" si="64"/>
        <v>3</v>
      </c>
      <c r="AM453" s="11">
        <f t="shared" si="65"/>
        <v>3</v>
      </c>
      <c r="AN453" s="14">
        <f t="shared" si="66"/>
        <v>3</v>
      </c>
      <c r="AO453" s="15"/>
      <c r="AP453" s="15"/>
      <c r="AQ453" s="15"/>
    </row>
    <row r="454" spans="1:43" ht="34" hidden="1" x14ac:dyDescent="0.2">
      <c r="A454" s="7">
        <v>453</v>
      </c>
      <c r="B454" s="19" t="s">
        <v>965</v>
      </c>
      <c r="C454" s="19" t="s">
        <v>966</v>
      </c>
      <c r="D454" s="8" t="s">
        <v>34</v>
      </c>
      <c r="E454" s="19" t="s">
        <v>269</v>
      </c>
      <c r="F454" s="8" t="s">
        <v>36</v>
      </c>
      <c r="G454" s="7" t="s">
        <v>59</v>
      </c>
      <c r="H454" s="9" t="s">
        <v>44</v>
      </c>
      <c r="I454" s="10"/>
      <c r="J454" s="10" t="s">
        <v>40</v>
      </c>
      <c r="K454" s="10" t="s">
        <v>40</v>
      </c>
      <c r="L454" s="10" t="s">
        <v>40</v>
      </c>
      <c r="M454">
        <v>0</v>
      </c>
      <c r="N454">
        <v>0</v>
      </c>
      <c r="O454">
        <v>0</v>
      </c>
      <c r="P454" s="10" t="s">
        <v>44</v>
      </c>
      <c r="Q454" s="10">
        <f t="array" ref="Q454">IFERROR(SUMPRODUCT((N454:P454&gt;0)*(N454:P454))/3, 0)</f>
        <v>0</v>
      </c>
      <c r="R454" s="10"/>
      <c r="S454" s="11" t="str">
        <f t="shared" si="62"/>
        <v/>
      </c>
      <c r="T454" s="7"/>
      <c r="U454" s="7"/>
      <c r="V454" s="7"/>
      <c r="W454" s="7"/>
      <c r="X454" s="7"/>
      <c r="Y454" s="7"/>
      <c r="Z454" s="15"/>
      <c r="AA454" s="15"/>
      <c r="AB454" s="11" t="str">
        <f t="shared" si="63"/>
        <v/>
      </c>
      <c r="AC454" s="11"/>
      <c r="AD454" s="11"/>
      <c r="AE454" s="11"/>
      <c r="AF454" s="11"/>
      <c r="AG454" s="11"/>
      <c r="AH454" s="11"/>
      <c r="AI454" s="11"/>
      <c r="AJ454" s="15"/>
      <c r="AK454" s="15"/>
      <c r="AL454" s="14">
        <f t="shared" si="64"/>
        <v>3</v>
      </c>
      <c r="AM454" s="11">
        <f t="shared" si="65"/>
        <v>3</v>
      </c>
      <c r="AN454" s="14">
        <f t="shared" si="66"/>
        <v>3</v>
      </c>
      <c r="AO454" s="15"/>
      <c r="AP454" s="15"/>
      <c r="AQ454" s="15"/>
    </row>
    <row r="455" spans="1:43" ht="34" hidden="1" x14ac:dyDescent="0.2">
      <c r="A455" s="7">
        <v>454</v>
      </c>
      <c r="B455" s="19" t="s">
        <v>967</v>
      </c>
      <c r="C455" s="19" t="s">
        <v>968</v>
      </c>
      <c r="D455" s="8" t="s">
        <v>34</v>
      </c>
      <c r="E455" s="19" t="s">
        <v>269</v>
      </c>
      <c r="F455" s="8" t="s">
        <v>36</v>
      </c>
      <c r="G455" s="7" t="s">
        <v>59</v>
      </c>
      <c r="H455" s="9" t="s">
        <v>44</v>
      </c>
      <c r="I455" s="10"/>
      <c r="J455" s="10" t="s">
        <v>40</v>
      </c>
      <c r="K455" s="10" t="s">
        <v>40</v>
      </c>
      <c r="L455" s="10" t="s">
        <v>40</v>
      </c>
      <c r="M455">
        <v>0</v>
      </c>
      <c r="N455">
        <v>0</v>
      </c>
      <c r="O455">
        <v>0</v>
      </c>
      <c r="P455" s="10" t="s">
        <v>44</v>
      </c>
      <c r="Q455" s="10">
        <f t="array" ref="Q455">IFERROR(SUMPRODUCT((N455:P455&gt;0)*(N455:P455))/3, 0)</f>
        <v>0</v>
      </c>
      <c r="R455" s="10"/>
      <c r="S455" s="11" t="str">
        <f t="shared" si="62"/>
        <v/>
      </c>
      <c r="T455" s="7"/>
      <c r="U455" s="7"/>
      <c r="V455" s="7"/>
      <c r="W455" s="7"/>
      <c r="X455" s="7"/>
      <c r="Y455" s="7"/>
      <c r="Z455" s="15"/>
      <c r="AA455" s="15"/>
      <c r="AB455" s="11" t="str">
        <f t="shared" si="63"/>
        <v/>
      </c>
      <c r="AC455" s="11"/>
      <c r="AD455" s="11"/>
      <c r="AE455" s="11"/>
      <c r="AF455" s="11"/>
      <c r="AG455" s="11"/>
      <c r="AH455" s="11"/>
      <c r="AI455" s="11"/>
      <c r="AJ455" s="15"/>
      <c r="AK455" s="15"/>
      <c r="AL455" s="14">
        <f t="shared" si="64"/>
        <v>3</v>
      </c>
      <c r="AM455" s="11">
        <f t="shared" si="65"/>
        <v>3</v>
      </c>
      <c r="AN455" s="14">
        <f t="shared" si="66"/>
        <v>3</v>
      </c>
      <c r="AO455" s="15"/>
      <c r="AP455" s="15"/>
      <c r="AQ455" s="15"/>
    </row>
    <row r="456" spans="1:43" ht="34" hidden="1" x14ac:dyDescent="0.2">
      <c r="A456" s="7">
        <v>455</v>
      </c>
      <c r="B456" s="19" t="s">
        <v>969</v>
      </c>
      <c r="C456" s="19" t="s">
        <v>970</v>
      </c>
      <c r="D456" s="8" t="s">
        <v>34</v>
      </c>
      <c r="E456" s="19" t="s">
        <v>269</v>
      </c>
      <c r="F456" s="8" t="s">
        <v>36</v>
      </c>
      <c r="G456" s="7" t="s">
        <v>59</v>
      </c>
      <c r="H456" s="9" t="s">
        <v>44</v>
      </c>
      <c r="I456" s="10"/>
      <c r="J456" s="10" t="s">
        <v>40</v>
      </c>
      <c r="K456" s="10" t="s">
        <v>40</v>
      </c>
      <c r="L456" s="10" t="s">
        <v>40</v>
      </c>
      <c r="M456">
        <v>0</v>
      </c>
      <c r="N456">
        <v>0</v>
      </c>
      <c r="O456">
        <v>0</v>
      </c>
      <c r="P456" s="10" t="s">
        <v>44</v>
      </c>
      <c r="Q456" s="10">
        <f t="array" ref="Q456">IFERROR(SUMPRODUCT((N456:P456&gt;0)*(N456:P456))/3, 0)</f>
        <v>0</v>
      </c>
      <c r="R456" s="10"/>
      <c r="S456" s="11" t="str">
        <f t="shared" si="62"/>
        <v/>
      </c>
      <c r="T456" s="7"/>
      <c r="U456" s="7"/>
      <c r="V456" s="7"/>
      <c r="W456" s="7"/>
      <c r="X456" s="7"/>
      <c r="Y456" s="7"/>
      <c r="Z456" s="15"/>
      <c r="AA456" s="15"/>
      <c r="AB456" s="11" t="str">
        <f t="shared" si="63"/>
        <v/>
      </c>
      <c r="AC456" s="11"/>
      <c r="AD456" s="11"/>
      <c r="AE456" s="11"/>
      <c r="AF456" s="11"/>
      <c r="AG456" s="11"/>
      <c r="AH456" s="11"/>
      <c r="AI456" s="11"/>
      <c r="AJ456" s="15"/>
      <c r="AK456" s="15"/>
      <c r="AL456" s="14">
        <f t="shared" si="64"/>
        <v>3</v>
      </c>
      <c r="AM456" s="11">
        <f t="shared" si="65"/>
        <v>3</v>
      </c>
      <c r="AN456" s="14">
        <f t="shared" si="66"/>
        <v>3</v>
      </c>
      <c r="AO456" s="15"/>
      <c r="AP456" s="15"/>
      <c r="AQ456" s="15"/>
    </row>
    <row r="457" spans="1:43" ht="51" hidden="1" x14ac:dyDescent="0.2">
      <c r="A457" s="7">
        <v>456</v>
      </c>
      <c r="B457" s="19" t="s">
        <v>971</v>
      </c>
      <c r="C457" s="19" t="s">
        <v>972</v>
      </c>
      <c r="D457" s="8" t="s">
        <v>34</v>
      </c>
      <c r="E457" s="19" t="s">
        <v>269</v>
      </c>
      <c r="F457" s="8" t="s">
        <v>36</v>
      </c>
      <c r="G457" s="7" t="s">
        <v>59</v>
      </c>
      <c r="H457" s="9" t="s">
        <v>44</v>
      </c>
      <c r="I457" s="10"/>
      <c r="J457" s="10" t="s">
        <v>40</v>
      </c>
      <c r="K457" s="10" t="s">
        <v>40</v>
      </c>
      <c r="L457" s="10" t="s">
        <v>40</v>
      </c>
      <c r="M457">
        <v>0</v>
      </c>
      <c r="N457">
        <v>0</v>
      </c>
      <c r="O457">
        <v>0</v>
      </c>
      <c r="P457" s="10" t="s">
        <v>44</v>
      </c>
      <c r="Q457" s="10">
        <f t="array" ref="Q457">IFERROR(SUMPRODUCT((N457:P457&gt;0)*(N457:P457))/3, 0)</f>
        <v>0</v>
      </c>
      <c r="R457" s="10"/>
      <c r="S457" s="11" t="str">
        <f t="shared" si="62"/>
        <v/>
      </c>
      <c r="T457" s="7"/>
      <c r="U457" s="7"/>
      <c r="V457" s="7"/>
      <c r="W457" s="7"/>
      <c r="X457" s="7"/>
      <c r="Y457" s="7"/>
      <c r="Z457" s="15"/>
      <c r="AA457" s="15"/>
      <c r="AB457" s="11" t="str">
        <f t="shared" si="63"/>
        <v/>
      </c>
      <c r="AC457" s="11"/>
      <c r="AD457" s="11"/>
      <c r="AE457" s="11"/>
      <c r="AF457" s="11"/>
      <c r="AG457" s="11"/>
      <c r="AH457" s="11"/>
      <c r="AI457" s="11"/>
      <c r="AJ457" s="15"/>
      <c r="AK457" s="15"/>
      <c r="AL457" s="14">
        <f t="shared" si="64"/>
        <v>3</v>
      </c>
      <c r="AM457" s="11">
        <f t="shared" si="65"/>
        <v>3</v>
      </c>
      <c r="AN457" s="14">
        <f t="shared" si="66"/>
        <v>3</v>
      </c>
      <c r="AO457" s="15"/>
      <c r="AP457" s="15"/>
      <c r="AQ457" s="15"/>
    </row>
    <row r="458" spans="1:43" ht="51" hidden="1" x14ac:dyDescent="0.2">
      <c r="A458" s="7">
        <v>457</v>
      </c>
      <c r="B458" s="19" t="s">
        <v>973</v>
      </c>
      <c r="C458" s="19" t="s">
        <v>974</v>
      </c>
      <c r="D458" s="8" t="s">
        <v>34</v>
      </c>
      <c r="E458" s="19" t="s">
        <v>269</v>
      </c>
      <c r="F458" s="8" t="s">
        <v>36</v>
      </c>
      <c r="G458" s="7" t="s">
        <v>59</v>
      </c>
      <c r="H458" s="9" t="s">
        <v>44</v>
      </c>
      <c r="I458" s="10"/>
      <c r="J458" s="10" t="s">
        <v>40</v>
      </c>
      <c r="K458" s="10" t="s">
        <v>40</v>
      </c>
      <c r="L458" s="10" t="s">
        <v>40</v>
      </c>
      <c r="M458">
        <v>0</v>
      </c>
      <c r="N458">
        <v>0</v>
      </c>
      <c r="O458">
        <v>0</v>
      </c>
      <c r="P458" s="10" t="s">
        <v>44</v>
      </c>
      <c r="Q458" s="10">
        <f t="array" ref="Q458">IFERROR(SUMPRODUCT((N458:P458&gt;0)*(N458:P458))/3, 0)</f>
        <v>0</v>
      </c>
      <c r="R458" s="10"/>
      <c r="S458" s="11" t="str">
        <f t="shared" si="62"/>
        <v/>
      </c>
      <c r="T458" s="7"/>
      <c r="U458" s="7"/>
      <c r="V458" s="7"/>
      <c r="W458" s="7"/>
      <c r="X458" s="7"/>
      <c r="Y458" s="7"/>
      <c r="Z458" s="15"/>
      <c r="AA458" s="15"/>
      <c r="AB458" s="11" t="str">
        <f t="shared" si="63"/>
        <v/>
      </c>
      <c r="AC458" s="11"/>
      <c r="AD458" s="11"/>
      <c r="AE458" s="11"/>
      <c r="AF458" s="11"/>
      <c r="AG458" s="11"/>
      <c r="AH458" s="11"/>
      <c r="AI458" s="11"/>
      <c r="AJ458" s="15"/>
      <c r="AK458" s="15"/>
      <c r="AL458" s="14">
        <f t="shared" si="64"/>
        <v>3</v>
      </c>
      <c r="AM458" s="11">
        <f t="shared" si="65"/>
        <v>3</v>
      </c>
      <c r="AN458" s="14">
        <f t="shared" si="66"/>
        <v>3</v>
      </c>
      <c r="AO458" s="15"/>
      <c r="AP458" s="15"/>
      <c r="AQ458" s="15"/>
    </row>
    <row r="459" spans="1:43" ht="51" hidden="1" x14ac:dyDescent="0.2">
      <c r="A459" s="7">
        <v>458</v>
      </c>
      <c r="B459" s="19" t="s">
        <v>975</v>
      </c>
      <c r="C459" s="19" t="s">
        <v>976</v>
      </c>
      <c r="D459" s="8" t="s">
        <v>34</v>
      </c>
      <c r="E459" s="19" t="s">
        <v>269</v>
      </c>
      <c r="F459" s="8" t="s">
        <v>36</v>
      </c>
      <c r="G459" s="7" t="s">
        <v>59</v>
      </c>
      <c r="H459" s="9" t="s">
        <v>44</v>
      </c>
      <c r="I459" s="10"/>
      <c r="J459" s="10" t="s">
        <v>40</v>
      </c>
      <c r="K459" s="10" t="s">
        <v>40</v>
      </c>
      <c r="L459" s="10" t="s">
        <v>40</v>
      </c>
      <c r="M459">
        <v>0</v>
      </c>
      <c r="N459">
        <v>0</v>
      </c>
      <c r="O459">
        <v>0</v>
      </c>
      <c r="P459" s="10" t="s">
        <v>44</v>
      </c>
      <c r="Q459" s="10">
        <f t="array" ref="Q459">IFERROR(SUMPRODUCT((N459:P459&gt;0)*(N459:P459))/3, 0)</f>
        <v>0</v>
      </c>
      <c r="R459" s="10"/>
      <c r="S459" s="11" t="str">
        <f t="shared" si="62"/>
        <v/>
      </c>
      <c r="T459" s="7"/>
      <c r="U459" s="7"/>
      <c r="V459" s="7"/>
      <c r="W459" s="7"/>
      <c r="X459" s="7"/>
      <c r="Y459" s="7"/>
      <c r="Z459" s="15"/>
      <c r="AA459" s="15"/>
      <c r="AB459" s="11" t="str">
        <f t="shared" si="63"/>
        <v/>
      </c>
      <c r="AC459" s="11"/>
      <c r="AD459" s="11"/>
      <c r="AE459" s="11"/>
      <c r="AF459" s="11"/>
      <c r="AG459" s="11"/>
      <c r="AH459" s="11"/>
      <c r="AI459" s="11"/>
      <c r="AJ459" s="15"/>
      <c r="AK459" s="15"/>
      <c r="AL459" s="14">
        <f t="shared" si="64"/>
        <v>3</v>
      </c>
      <c r="AM459" s="11">
        <f t="shared" si="65"/>
        <v>3</v>
      </c>
      <c r="AN459" s="14">
        <f t="shared" si="66"/>
        <v>3</v>
      </c>
      <c r="AO459" s="15"/>
      <c r="AP459" s="15"/>
      <c r="AQ459" s="15"/>
    </row>
    <row r="460" spans="1:43" ht="34" hidden="1" x14ac:dyDescent="0.2">
      <c r="A460" s="7">
        <v>459</v>
      </c>
      <c r="B460" s="19" t="s">
        <v>977</v>
      </c>
      <c r="C460" s="19" t="s">
        <v>978</v>
      </c>
      <c r="D460" s="8" t="s">
        <v>34</v>
      </c>
      <c r="E460" s="19" t="s">
        <v>269</v>
      </c>
      <c r="F460" s="8" t="s">
        <v>36</v>
      </c>
      <c r="G460" s="7" t="s">
        <v>59</v>
      </c>
      <c r="H460" s="9" t="s">
        <v>44</v>
      </c>
      <c r="I460" s="10"/>
      <c r="J460" s="10" t="s">
        <v>40</v>
      </c>
      <c r="K460" s="10" t="s">
        <v>40</v>
      </c>
      <c r="L460" s="10" t="s">
        <v>40</v>
      </c>
      <c r="M460">
        <v>0</v>
      </c>
      <c r="N460">
        <v>0</v>
      </c>
      <c r="O460">
        <v>0</v>
      </c>
      <c r="P460" s="10" t="s">
        <v>44</v>
      </c>
      <c r="Q460" s="10">
        <f t="array" ref="Q460">IFERROR(SUMPRODUCT((N460:P460&gt;0)*(N460:P460))/3, 0)</f>
        <v>0</v>
      </c>
      <c r="R460" s="10"/>
      <c r="S460" s="11" t="str">
        <f t="shared" si="62"/>
        <v/>
      </c>
      <c r="T460" s="7"/>
      <c r="U460" s="7"/>
      <c r="V460" s="7"/>
      <c r="W460" s="7"/>
      <c r="X460" s="7"/>
      <c r="Y460" s="7"/>
      <c r="Z460" s="15"/>
      <c r="AA460" s="15"/>
      <c r="AB460" s="11" t="str">
        <f t="shared" si="63"/>
        <v/>
      </c>
      <c r="AC460" s="11"/>
      <c r="AD460" s="11"/>
      <c r="AE460" s="11"/>
      <c r="AF460" s="11"/>
      <c r="AG460" s="11"/>
      <c r="AH460" s="11"/>
      <c r="AI460" s="11"/>
      <c r="AJ460" s="15"/>
      <c r="AK460" s="15"/>
      <c r="AL460" s="14">
        <f t="shared" si="64"/>
        <v>3</v>
      </c>
      <c r="AM460" s="11">
        <f t="shared" si="65"/>
        <v>3</v>
      </c>
      <c r="AN460" s="14">
        <f t="shared" si="66"/>
        <v>3</v>
      </c>
      <c r="AO460" s="15"/>
      <c r="AP460" s="15"/>
      <c r="AQ460" s="15"/>
    </row>
    <row r="461" spans="1:43" ht="51" hidden="1" x14ac:dyDescent="0.2">
      <c r="A461" s="7">
        <v>460</v>
      </c>
      <c r="B461" s="19" t="s">
        <v>979</v>
      </c>
      <c r="C461" s="19" t="s">
        <v>980</v>
      </c>
      <c r="D461" s="8" t="s">
        <v>34</v>
      </c>
      <c r="E461" s="19" t="s">
        <v>269</v>
      </c>
      <c r="F461" s="8" t="s">
        <v>36</v>
      </c>
      <c r="G461" s="7" t="s">
        <v>59</v>
      </c>
      <c r="H461" s="9" t="s">
        <v>44</v>
      </c>
      <c r="I461" s="10"/>
      <c r="J461" s="10" t="s">
        <v>40</v>
      </c>
      <c r="K461" s="10" t="s">
        <v>40</v>
      </c>
      <c r="L461" s="10" t="s">
        <v>40</v>
      </c>
      <c r="M461">
        <v>0</v>
      </c>
      <c r="N461">
        <v>0</v>
      </c>
      <c r="O461">
        <v>0</v>
      </c>
      <c r="P461" s="10" t="s">
        <v>44</v>
      </c>
      <c r="Q461" s="10">
        <f t="array" ref="Q461">IFERROR(SUMPRODUCT((N461:P461&gt;0)*(N461:P461))/3, 0)</f>
        <v>0</v>
      </c>
      <c r="R461" s="10"/>
      <c r="S461" s="11" t="str">
        <f t="shared" si="62"/>
        <v/>
      </c>
      <c r="T461" s="7"/>
      <c r="U461" s="7"/>
      <c r="V461" s="7"/>
      <c r="W461" s="7"/>
      <c r="X461" s="7"/>
      <c r="Y461" s="7"/>
      <c r="Z461" s="15"/>
      <c r="AA461" s="15"/>
      <c r="AB461" s="11" t="str">
        <f t="shared" si="63"/>
        <v/>
      </c>
      <c r="AC461" s="11"/>
      <c r="AD461" s="11"/>
      <c r="AE461" s="11"/>
      <c r="AF461" s="11"/>
      <c r="AG461" s="11"/>
      <c r="AH461" s="11"/>
      <c r="AI461" s="11"/>
      <c r="AJ461" s="15"/>
      <c r="AK461" s="15"/>
      <c r="AL461" s="14">
        <f t="shared" si="64"/>
        <v>3</v>
      </c>
      <c r="AM461" s="11">
        <f t="shared" si="65"/>
        <v>3</v>
      </c>
      <c r="AN461" s="14">
        <f t="shared" si="66"/>
        <v>3</v>
      </c>
      <c r="AO461" s="15"/>
      <c r="AP461" s="15"/>
      <c r="AQ461" s="15"/>
    </row>
    <row r="462" spans="1:43" ht="34" hidden="1" x14ac:dyDescent="0.2">
      <c r="A462" s="7">
        <v>461</v>
      </c>
      <c r="B462" s="19" t="s">
        <v>981</v>
      </c>
      <c r="C462" s="19" t="s">
        <v>982</v>
      </c>
      <c r="D462" s="8" t="s">
        <v>34</v>
      </c>
      <c r="E462" s="19" t="s">
        <v>269</v>
      </c>
      <c r="F462" s="8" t="s">
        <v>36</v>
      </c>
      <c r="G462" s="7" t="s">
        <v>59</v>
      </c>
      <c r="H462" s="9" t="s">
        <v>44</v>
      </c>
      <c r="I462" s="10"/>
      <c r="J462" s="10" t="s">
        <v>40</v>
      </c>
      <c r="K462" s="10" t="s">
        <v>40</v>
      </c>
      <c r="L462" s="10" t="s">
        <v>40</v>
      </c>
      <c r="M462">
        <v>0</v>
      </c>
      <c r="N462">
        <v>0</v>
      </c>
      <c r="O462">
        <v>0</v>
      </c>
      <c r="P462" s="10" t="s">
        <v>44</v>
      </c>
      <c r="Q462" s="10">
        <f t="array" ref="Q462">IFERROR(SUMPRODUCT((N462:P462&gt;0)*(N462:P462))/3, 0)</f>
        <v>0</v>
      </c>
      <c r="R462" s="10"/>
      <c r="S462" s="11" t="str">
        <f t="shared" si="62"/>
        <v/>
      </c>
      <c r="T462" s="7"/>
      <c r="U462" s="7"/>
      <c r="V462" s="7"/>
      <c r="W462" s="7"/>
      <c r="X462" s="7"/>
      <c r="Y462" s="7"/>
      <c r="Z462" s="15"/>
      <c r="AA462" s="15"/>
      <c r="AB462" s="11" t="str">
        <f t="shared" si="63"/>
        <v/>
      </c>
      <c r="AC462" s="11"/>
      <c r="AD462" s="11"/>
      <c r="AE462" s="11"/>
      <c r="AF462" s="11"/>
      <c r="AG462" s="11"/>
      <c r="AH462" s="11"/>
      <c r="AI462" s="11"/>
      <c r="AJ462" s="15"/>
      <c r="AK462" s="15"/>
      <c r="AL462" s="14">
        <f t="shared" si="64"/>
        <v>3</v>
      </c>
      <c r="AM462" s="11">
        <f t="shared" si="65"/>
        <v>3</v>
      </c>
      <c r="AN462" s="14">
        <f t="shared" si="66"/>
        <v>3</v>
      </c>
      <c r="AO462" s="15"/>
      <c r="AP462" s="15"/>
      <c r="AQ462" s="15"/>
    </row>
    <row r="463" spans="1:43" ht="34" hidden="1" x14ac:dyDescent="0.2">
      <c r="A463" s="7">
        <v>462</v>
      </c>
      <c r="B463" s="19" t="s">
        <v>983</v>
      </c>
      <c r="C463" s="19" t="s">
        <v>984</v>
      </c>
      <c r="D463" s="8" t="s">
        <v>34</v>
      </c>
      <c r="E463" s="19" t="s">
        <v>269</v>
      </c>
      <c r="F463" s="8" t="s">
        <v>36</v>
      </c>
      <c r="G463" s="7" t="s">
        <v>59</v>
      </c>
      <c r="H463" s="9" t="s">
        <v>44</v>
      </c>
      <c r="I463" s="10"/>
      <c r="J463" s="10" t="s">
        <v>40</v>
      </c>
      <c r="K463" s="10" t="s">
        <v>40</v>
      </c>
      <c r="L463" s="10" t="s">
        <v>40</v>
      </c>
      <c r="M463">
        <v>0</v>
      </c>
      <c r="N463">
        <v>0</v>
      </c>
      <c r="O463">
        <v>0</v>
      </c>
      <c r="P463" s="10" t="s">
        <v>44</v>
      </c>
      <c r="Q463" s="10">
        <f t="array" ref="Q463">IFERROR(SUMPRODUCT((N463:P463&gt;0)*(N463:P463))/3, 0)</f>
        <v>0</v>
      </c>
      <c r="R463" s="10"/>
      <c r="S463" s="11" t="str">
        <f t="shared" si="62"/>
        <v/>
      </c>
      <c r="T463" s="7"/>
      <c r="U463" s="7"/>
      <c r="V463" s="7"/>
      <c r="W463" s="7"/>
      <c r="X463" s="7"/>
      <c r="Y463" s="7"/>
      <c r="Z463" s="15"/>
      <c r="AA463" s="15"/>
      <c r="AB463" s="11" t="str">
        <f t="shared" si="63"/>
        <v/>
      </c>
      <c r="AC463" s="11"/>
      <c r="AD463" s="11"/>
      <c r="AE463" s="11"/>
      <c r="AF463" s="11"/>
      <c r="AG463" s="11"/>
      <c r="AH463" s="11"/>
      <c r="AI463" s="11"/>
      <c r="AJ463" s="15"/>
      <c r="AK463" s="15"/>
      <c r="AL463" s="14">
        <f t="shared" si="64"/>
        <v>3</v>
      </c>
      <c r="AM463" s="11">
        <f t="shared" si="65"/>
        <v>3</v>
      </c>
      <c r="AN463" s="14">
        <f t="shared" si="66"/>
        <v>3</v>
      </c>
      <c r="AO463" s="15"/>
      <c r="AP463" s="15"/>
      <c r="AQ463" s="15"/>
    </row>
    <row r="464" spans="1:43" ht="51" hidden="1" x14ac:dyDescent="0.2">
      <c r="A464" s="7">
        <v>463</v>
      </c>
      <c r="B464" s="19" t="s">
        <v>985</v>
      </c>
      <c r="C464" s="19" t="s">
        <v>986</v>
      </c>
      <c r="D464" s="8" t="s">
        <v>34</v>
      </c>
      <c r="E464" s="19" t="s">
        <v>269</v>
      </c>
      <c r="F464" s="8" t="s">
        <v>36</v>
      </c>
      <c r="G464" s="7" t="s">
        <v>59</v>
      </c>
      <c r="H464" s="9" t="s">
        <v>44</v>
      </c>
      <c r="I464" s="10"/>
      <c r="J464" s="10" t="s">
        <v>40</v>
      </c>
      <c r="K464" s="10" t="s">
        <v>40</v>
      </c>
      <c r="L464" s="10" t="s">
        <v>40</v>
      </c>
      <c r="M464">
        <v>0</v>
      </c>
      <c r="N464">
        <v>0</v>
      </c>
      <c r="O464">
        <v>0</v>
      </c>
      <c r="P464" s="10" t="s">
        <v>44</v>
      </c>
      <c r="Q464" s="10">
        <f t="array" ref="Q464">IFERROR(SUMPRODUCT((N464:P464&gt;0)*(N464:P464))/3, 0)</f>
        <v>0</v>
      </c>
      <c r="R464" s="10"/>
      <c r="S464" s="11" t="str">
        <f t="shared" si="62"/>
        <v/>
      </c>
      <c r="T464" s="7"/>
      <c r="U464" s="7"/>
      <c r="V464" s="7"/>
      <c r="W464" s="7"/>
      <c r="X464" s="7"/>
      <c r="Y464" s="7"/>
      <c r="Z464" s="15"/>
      <c r="AA464" s="15"/>
      <c r="AB464" s="11" t="str">
        <f t="shared" si="63"/>
        <v/>
      </c>
      <c r="AC464" s="11"/>
      <c r="AD464" s="11"/>
      <c r="AE464" s="11"/>
      <c r="AF464" s="11"/>
      <c r="AG464" s="11"/>
      <c r="AH464" s="11"/>
      <c r="AI464" s="11"/>
      <c r="AJ464" s="15"/>
      <c r="AK464" s="15"/>
      <c r="AL464" s="14">
        <f t="shared" si="64"/>
        <v>3</v>
      </c>
      <c r="AM464" s="11">
        <f t="shared" si="65"/>
        <v>3</v>
      </c>
      <c r="AN464" s="14">
        <f t="shared" si="66"/>
        <v>3</v>
      </c>
      <c r="AO464" s="15"/>
      <c r="AP464" s="15"/>
      <c r="AQ464" s="15"/>
    </row>
    <row r="465" spans="1:43" ht="51" hidden="1" x14ac:dyDescent="0.2">
      <c r="A465" s="7">
        <v>464</v>
      </c>
      <c r="B465" s="19" t="s">
        <v>987</v>
      </c>
      <c r="C465" s="19" t="s">
        <v>988</v>
      </c>
      <c r="D465" s="8" t="s">
        <v>34</v>
      </c>
      <c r="E465" s="19" t="s">
        <v>269</v>
      </c>
      <c r="F465" s="8" t="s">
        <v>36</v>
      </c>
      <c r="G465" s="7" t="s">
        <v>59</v>
      </c>
      <c r="H465" s="9" t="s">
        <v>44</v>
      </c>
      <c r="I465" s="10"/>
      <c r="J465" s="10" t="s">
        <v>40</v>
      </c>
      <c r="K465" s="10" t="s">
        <v>40</v>
      </c>
      <c r="L465" s="10" t="s">
        <v>40</v>
      </c>
      <c r="M465">
        <v>0</v>
      </c>
      <c r="N465">
        <v>0</v>
      </c>
      <c r="O465">
        <v>0</v>
      </c>
      <c r="P465" s="10" t="s">
        <v>44</v>
      </c>
      <c r="Q465" s="10">
        <f t="array" ref="Q465">IFERROR(SUMPRODUCT((N465:P465&gt;0)*(N465:P465))/3, 0)</f>
        <v>0</v>
      </c>
      <c r="R465" s="10"/>
      <c r="S465" s="11" t="str">
        <f t="shared" si="62"/>
        <v/>
      </c>
      <c r="T465" s="7"/>
      <c r="U465" s="7"/>
      <c r="V465" s="7"/>
      <c r="W465" s="7"/>
      <c r="X465" s="7"/>
      <c r="Y465" s="7"/>
      <c r="Z465" s="15"/>
      <c r="AA465" s="15"/>
      <c r="AB465" s="11" t="str">
        <f t="shared" si="63"/>
        <v/>
      </c>
      <c r="AC465" s="11"/>
      <c r="AD465" s="11"/>
      <c r="AE465" s="11"/>
      <c r="AF465" s="11"/>
      <c r="AG465" s="11"/>
      <c r="AH465" s="11"/>
      <c r="AI465" s="11"/>
      <c r="AJ465" s="15"/>
      <c r="AK465" s="15"/>
      <c r="AL465" s="14">
        <f t="shared" si="64"/>
        <v>3</v>
      </c>
      <c r="AM465" s="11">
        <f t="shared" si="65"/>
        <v>3</v>
      </c>
      <c r="AN465" s="14">
        <f t="shared" si="66"/>
        <v>3</v>
      </c>
      <c r="AO465" s="15"/>
      <c r="AP465" s="15"/>
      <c r="AQ465" s="15"/>
    </row>
    <row r="466" spans="1:43" ht="34" hidden="1" x14ac:dyDescent="0.2">
      <c r="A466" s="7">
        <v>465</v>
      </c>
      <c r="B466" s="19" t="s">
        <v>989</v>
      </c>
      <c r="C466" s="19" t="s">
        <v>990</v>
      </c>
      <c r="D466" s="8" t="s">
        <v>34</v>
      </c>
      <c r="E466" s="19" t="s">
        <v>269</v>
      </c>
      <c r="F466" s="8" t="s">
        <v>36</v>
      </c>
      <c r="G466" s="7" t="s">
        <v>59</v>
      </c>
      <c r="H466" s="9" t="s">
        <v>44</v>
      </c>
      <c r="I466" s="10"/>
      <c r="J466" s="10" t="s">
        <v>40</v>
      </c>
      <c r="K466" s="10" t="s">
        <v>40</v>
      </c>
      <c r="L466" s="10" t="s">
        <v>40</v>
      </c>
      <c r="M466">
        <v>0</v>
      </c>
      <c r="N466">
        <v>0</v>
      </c>
      <c r="O466">
        <v>0</v>
      </c>
      <c r="P466" s="10" t="s">
        <v>44</v>
      </c>
      <c r="Q466" s="10">
        <f t="array" ref="Q466">IFERROR(SUMPRODUCT((N466:P466&gt;0)*(N466:P466))/3, 0)</f>
        <v>0</v>
      </c>
      <c r="R466" s="10"/>
      <c r="S466" s="11" t="str">
        <f t="shared" si="62"/>
        <v/>
      </c>
      <c r="T466" s="7"/>
      <c r="U466" s="7"/>
      <c r="V466" s="7"/>
      <c r="W466" s="7"/>
      <c r="X466" s="7"/>
      <c r="Y466" s="7"/>
      <c r="Z466" s="15"/>
      <c r="AA466" s="15"/>
      <c r="AB466" s="11" t="str">
        <f t="shared" si="63"/>
        <v/>
      </c>
      <c r="AC466" s="11"/>
      <c r="AD466" s="11"/>
      <c r="AE466" s="11"/>
      <c r="AF466" s="11"/>
      <c r="AG466" s="11"/>
      <c r="AH466" s="11"/>
      <c r="AI466" s="11"/>
      <c r="AJ466" s="15"/>
      <c r="AK466" s="15"/>
      <c r="AL466" s="14">
        <f t="shared" si="64"/>
        <v>3</v>
      </c>
      <c r="AM466" s="11">
        <f t="shared" si="65"/>
        <v>3</v>
      </c>
      <c r="AN466" s="14">
        <f t="shared" si="66"/>
        <v>3</v>
      </c>
      <c r="AO466" s="15"/>
      <c r="AP466" s="15"/>
      <c r="AQ466" s="15"/>
    </row>
    <row r="467" spans="1:43" ht="51" hidden="1" x14ac:dyDescent="0.2">
      <c r="A467" s="7">
        <v>466</v>
      </c>
      <c r="B467" s="19" t="s">
        <v>991</v>
      </c>
      <c r="C467" s="19" t="s">
        <v>992</v>
      </c>
      <c r="D467" s="8" t="s">
        <v>34</v>
      </c>
      <c r="E467" s="19" t="s">
        <v>269</v>
      </c>
      <c r="F467" s="8" t="s">
        <v>36</v>
      </c>
      <c r="G467" s="7" t="s">
        <v>59</v>
      </c>
      <c r="H467" s="9" t="s">
        <v>44</v>
      </c>
      <c r="I467" s="10"/>
      <c r="J467" s="10" t="s">
        <v>40</v>
      </c>
      <c r="K467" s="10" t="s">
        <v>40</v>
      </c>
      <c r="L467" s="10" t="s">
        <v>40</v>
      </c>
      <c r="M467">
        <v>0</v>
      </c>
      <c r="N467">
        <v>0</v>
      </c>
      <c r="O467">
        <v>0</v>
      </c>
      <c r="P467" s="10" t="s">
        <v>44</v>
      </c>
      <c r="Q467" s="10">
        <f t="array" ref="Q467">IFERROR(SUMPRODUCT((N467:P467&gt;0)*(N467:P467))/3, 0)</f>
        <v>0</v>
      </c>
      <c r="R467" s="10"/>
      <c r="S467" s="11" t="str">
        <f t="shared" si="62"/>
        <v/>
      </c>
      <c r="T467" s="7"/>
      <c r="U467" s="7"/>
      <c r="V467" s="7"/>
      <c r="W467" s="7"/>
      <c r="X467" s="7"/>
      <c r="Y467" s="7"/>
      <c r="Z467" s="15"/>
      <c r="AA467" s="15"/>
      <c r="AB467" s="11" t="str">
        <f t="shared" si="63"/>
        <v/>
      </c>
      <c r="AC467" s="11"/>
      <c r="AD467" s="11"/>
      <c r="AE467" s="11"/>
      <c r="AF467" s="11"/>
      <c r="AG467" s="11"/>
      <c r="AH467" s="11"/>
      <c r="AI467" s="11"/>
      <c r="AJ467" s="15"/>
      <c r="AK467" s="15"/>
      <c r="AL467" s="14">
        <f t="shared" si="64"/>
        <v>3</v>
      </c>
      <c r="AM467" s="11">
        <f t="shared" si="65"/>
        <v>3</v>
      </c>
      <c r="AN467" s="14">
        <f t="shared" si="66"/>
        <v>3</v>
      </c>
      <c r="AO467" s="15"/>
      <c r="AP467" s="15"/>
      <c r="AQ467" s="15"/>
    </row>
    <row r="468" spans="1:43" ht="68" hidden="1" x14ac:dyDescent="0.2">
      <c r="A468" s="7">
        <v>467</v>
      </c>
      <c r="B468" s="19" t="s">
        <v>993</v>
      </c>
      <c r="C468" s="19" t="s">
        <v>994</v>
      </c>
      <c r="D468" s="8" t="s">
        <v>34</v>
      </c>
      <c r="E468" s="19" t="s">
        <v>269</v>
      </c>
      <c r="F468" s="8" t="s">
        <v>36</v>
      </c>
      <c r="G468" s="7" t="s">
        <v>59</v>
      </c>
      <c r="H468" s="9" t="s">
        <v>44</v>
      </c>
      <c r="I468" s="10"/>
      <c r="J468" s="10" t="s">
        <v>40</v>
      </c>
      <c r="K468" s="10" t="s">
        <v>40</v>
      </c>
      <c r="L468" s="10" t="s">
        <v>40</v>
      </c>
      <c r="M468">
        <v>0</v>
      </c>
      <c r="N468">
        <v>0</v>
      </c>
      <c r="O468">
        <v>0</v>
      </c>
      <c r="P468" s="10" t="s">
        <v>44</v>
      </c>
      <c r="Q468" s="10">
        <f t="array" ref="Q468">IFERROR(SUMPRODUCT((N468:P468&gt;0)*(N468:P468))/3, 0)</f>
        <v>0</v>
      </c>
      <c r="R468" s="10"/>
      <c r="S468" s="11" t="str">
        <f t="shared" si="62"/>
        <v/>
      </c>
      <c r="T468" s="7"/>
      <c r="U468" s="7"/>
      <c r="V468" s="7"/>
      <c r="W468" s="7"/>
      <c r="X468" s="7"/>
      <c r="Y468" s="7"/>
      <c r="Z468" s="15"/>
      <c r="AA468" s="15"/>
      <c r="AB468" s="11" t="str">
        <f t="shared" si="63"/>
        <v/>
      </c>
      <c r="AC468" s="11"/>
      <c r="AD468" s="11"/>
      <c r="AE468" s="11"/>
      <c r="AF468" s="11"/>
      <c r="AG468" s="11"/>
      <c r="AH468" s="11"/>
      <c r="AI468" s="11"/>
      <c r="AJ468" s="15"/>
      <c r="AK468" s="15"/>
      <c r="AL468" s="14">
        <f t="shared" si="64"/>
        <v>3</v>
      </c>
      <c r="AM468" s="11">
        <f t="shared" si="65"/>
        <v>3</v>
      </c>
      <c r="AN468" s="14">
        <f t="shared" si="66"/>
        <v>3</v>
      </c>
      <c r="AO468" s="15"/>
      <c r="AP468" s="15"/>
      <c r="AQ468" s="15"/>
    </row>
    <row r="469" spans="1:43" ht="51" hidden="1" x14ac:dyDescent="0.2">
      <c r="A469" s="7">
        <v>468</v>
      </c>
      <c r="B469" s="19" t="s">
        <v>995</v>
      </c>
      <c r="C469" s="19" t="s">
        <v>996</v>
      </c>
      <c r="D469" s="8" t="s">
        <v>34</v>
      </c>
      <c r="E469" s="19" t="s">
        <v>269</v>
      </c>
      <c r="F469" s="8" t="s">
        <v>36</v>
      </c>
      <c r="G469" s="7" t="s">
        <v>59</v>
      </c>
      <c r="H469" s="9" t="s">
        <v>44</v>
      </c>
      <c r="I469" s="10"/>
      <c r="J469" s="10" t="s">
        <v>40</v>
      </c>
      <c r="K469" s="10" t="s">
        <v>40</v>
      </c>
      <c r="L469" s="10" t="s">
        <v>40</v>
      </c>
      <c r="M469">
        <v>0</v>
      </c>
      <c r="N469">
        <v>0</v>
      </c>
      <c r="O469">
        <v>0</v>
      </c>
      <c r="P469" s="10" t="s">
        <v>44</v>
      </c>
      <c r="Q469" s="10">
        <f t="array" ref="Q469">IFERROR(SUMPRODUCT((N469:P469&gt;0)*(N469:P469))/3, 0)</f>
        <v>0</v>
      </c>
      <c r="R469" s="10"/>
      <c r="S469" s="11" t="str">
        <f t="shared" si="62"/>
        <v/>
      </c>
      <c r="T469" s="7"/>
      <c r="U469" s="7"/>
      <c r="V469" s="7"/>
      <c r="W469" s="7"/>
      <c r="X469" s="7"/>
      <c r="Y469" s="7"/>
      <c r="Z469" s="15"/>
      <c r="AA469" s="15"/>
      <c r="AB469" s="11" t="str">
        <f t="shared" si="63"/>
        <v/>
      </c>
      <c r="AC469" s="11"/>
      <c r="AD469" s="11"/>
      <c r="AE469" s="11"/>
      <c r="AF469" s="11"/>
      <c r="AG469" s="11"/>
      <c r="AH469" s="11"/>
      <c r="AI469" s="11"/>
      <c r="AJ469" s="15"/>
      <c r="AK469" s="15"/>
      <c r="AL469" s="14">
        <f t="shared" si="64"/>
        <v>3</v>
      </c>
      <c r="AM469" s="11">
        <f t="shared" si="65"/>
        <v>3</v>
      </c>
      <c r="AN469" s="14">
        <f t="shared" si="66"/>
        <v>3</v>
      </c>
      <c r="AO469" s="15"/>
      <c r="AP469" s="15"/>
      <c r="AQ469" s="15"/>
    </row>
    <row r="470" spans="1:43" ht="51" hidden="1" x14ac:dyDescent="0.2">
      <c r="A470" s="7">
        <v>469</v>
      </c>
      <c r="B470" s="19" t="s">
        <v>997</v>
      </c>
      <c r="C470" s="19" t="s">
        <v>998</v>
      </c>
      <c r="D470" s="8" t="s">
        <v>34</v>
      </c>
      <c r="E470" s="19" t="s">
        <v>269</v>
      </c>
      <c r="F470" s="8" t="s">
        <v>36</v>
      </c>
      <c r="G470" s="7" t="s">
        <v>59</v>
      </c>
      <c r="H470" s="9" t="s">
        <v>44</v>
      </c>
      <c r="I470" s="10"/>
      <c r="J470" s="10" t="s">
        <v>40</v>
      </c>
      <c r="K470" s="10" t="s">
        <v>40</v>
      </c>
      <c r="L470" s="10" t="s">
        <v>40</v>
      </c>
      <c r="M470">
        <v>0</v>
      </c>
      <c r="N470">
        <v>0</v>
      </c>
      <c r="O470">
        <v>0</v>
      </c>
      <c r="P470" s="10" t="s">
        <v>44</v>
      </c>
      <c r="Q470" s="10">
        <f t="array" ref="Q470">IFERROR(SUMPRODUCT((N470:P470&gt;0)*(N470:P470))/3, 0)</f>
        <v>0</v>
      </c>
      <c r="R470" s="10"/>
      <c r="S470" s="11" t="str">
        <f t="shared" si="62"/>
        <v/>
      </c>
      <c r="T470" s="7"/>
      <c r="U470" s="7"/>
      <c r="V470" s="7"/>
      <c r="W470" s="7"/>
      <c r="X470" s="7"/>
      <c r="Y470" s="7"/>
      <c r="Z470" s="15"/>
      <c r="AA470" s="15"/>
      <c r="AB470" s="11" t="str">
        <f t="shared" si="63"/>
        <v/>
      </c>
      <c r="AC470" s="11"/>
      <c r="AD470" s="11"/>
      <c r="AE470" s="11"/>
      <c r="AF470" s="11"/>
      <c r="AG470" s="11"/>
      <c r="AH470" s="11"/>
      <c r="AI470" s="11"/>
      <c r="AJ470" s="15"/>
      <c r="AK470" s="15"/>
      <c r="AL470" s="14">
        <f t="shared" si="64"/>
        <v>3</v>
      </c>
      <c r="AM470" s="11">
        <f t="shared" si="65"/>
        <v>3</v>
      </c>
      <c r="AN470" s="14">
        <f t="shared" si="66"/>
        <v>3</v>
      </c>
      <c r="AO470" s="15"/>
      <c r="AP470" s="15"/>
      <c r="AQ470" s="15"/>
    </row>
    <row r="471" spans="1:43" ht="51" hidden="1" x14ac:dyDescent="0.2">
      <c r="A471" s="7">
        <v>470</v>
      </c>
      <c r="B471" s="19" t="s">
        <v>999</v>
      </c>
      <c r="C471" s="19" t="s">
        <v>1000</v>
      </c>
      <c r="D471" s="8" t="s">
        <v>34</v>
      </c>
      <c r="E471" s="19" t="s">
        <v>269</v>
      </c>
      <c r="F471" s="8" t="s">
        <v>36</v>
      </c>
      <c r="G471" s="7" t="s">
        <v>59</v>
      </c>
      <c r="H471" s="9" t="s">
        <v>44</v>
      </c>
      <c r="I471" s="10"/>
      <c r="J471" s="10" t="s">
        <v>40</v>
      </c>
      <c r="K471" s="10" t="s">
        <v>40</v>
      </c>
      <c r="L471" s="10" t="s">
        <v>40</v>
      </c>
      <c r="M471">
        <v>0</v>
      </c>
      <c r="N471">
        <v>0</v>
      </c>
      <c r="O471">
        <v>0</v>
      </c>
      <c r="P471" s="10" t="s">
        <v>44</v>
      </c>
      <c r="Q471" s="10">
        <f t="array" ref="Q471">IFERROR(SUMPRODUCT((N471:P471&gt;0)*(N471:P471))/3, 0)</f>
        <v>0</v>
      </c>
      <c r="R471" s="10"/>
      <c r="S471" s="11" t="str">
        <f t="shared" si="62"/>
        <v/>
      </c>
      <c r="T471" s="7"/>
      <c r="U471" s="7"/>
      <c r="V471" s="7"/>
      <c r="W471" s="7"/>
      <c r="X471" s="7"/>
      <c r="Y471" s="7"/>
      <c r="Z471" s="15"/>
      <c r="AA471" s="15"/>
      <c r="AB471" s="11" t="str">
        <f t="shared" si="63"/>
        <v/>
      </c>
      <c r="AC471" s="11"/>
      <c r="AD471" s="11"/>
      <c r="AE471" s="11"/>
      <c r="AF471" s="11"/>
      <c r="AG471" s="11"/>
      <c r="AH471" s="11"/>
      <c r="AI471" s="11"/>
      <c r="AJ471" s="15"/>
      <c r="AK471" s="15"/>
      <c r="AL471" s="14">
        <f t="shared" si="64"/>
        <v>3</v>
      </c>
      <c r="AM471" s="11">
        <f t="shared" si="65"/>
        <v>3</v>
      </c>
      <c r="AN471" s="14">
        <f t="shared" si="66"/>
        <v>3</v>
      </c>
      <c r="AO471" s="15"/>
      <c r="AP471" s="15"/>
      <c r="AQ471" s="15"/>
    </row>
    <row r="472" spans="1:43" ht="51" hidden="1" x14ac:dyDescent="0.2">
      <c r="A472" s="7">
        <v>471</v>
      </c>
      <c r="B472" s="19" t="s">
        <v>1001</v>
      </c>
      <c r="C472" s="19" t="s">
        <v>1002</v>
      </c>
      <c r="D472" s="8" t="s">
        <v>34</v>
      </c>
      <c r="E472" s="19" t="s">
        <v>269</v>
      </c>
      <c r="F472" s="8" t="s">
        <v>36</v>
      </c>
      <c r="G472" s="7" t="s">
        <v>59</v>
      </c>
      <c r="H472" s="9" t="s">
        <v>44</v>
      </c>
      <c r="I472" s="10"/>
      <c r="J472" s="10" t="s">
        <v>40</v>
      </c>
      <c r="K472" s="10" t="s">
        <v>40</v>
      </c>
      <c r="L472" s="10" t="s">
        <v>40</v>
      </c>
      <c r="M472">
        <v>0</v>
      </c>
      <c r="N472">
        <v>0</v>
      </c>
      <c r="O472">
        <v>0</v>
      </c>
      <c r="P472" s="10" t="s">
        <v>44</v>
      </c>
      <c r="Q472" s="10">
        <f t="array" ref="Q472">IFERROR(SUMPRODUCT((N472:P472&gt;0)*(N472:P472))/3, 0)</f>
        <v>0</v>
      </c>
      <c r="R472" s="10"/>
      <c r="S472" s="11" t="str">
        <f t="shared" si="62"/>
        <v/>
      </c>
      <c r="T472" s="7"/>
      <c r="U472" s="7"/>
      <c r="V472" s="7"/>
      <c r="W472" s="7"/>
      <c r="X472" s="7"/>
      <c r="Y472" s="7"/>
      <c r="Z472" s="15"/>
      <c r="AA472" s="15"/>
      <c r="AB472" s="11" t="str">
        <f t="shared" si="63"/>
        <v/>
      </c>
      <c r="AC472" s="11"/>
      <c r="AD472" s="11"/>
      <c r="AE472" s="11"/>
      <c r="AF472" s="11"/>
      <c r="AG472" s="11"/>
      <c r="AH472" s="11"/>
      <c r="AI472" s="11"/>
      <c r="AJ472" s="15"/>
      <c r="AK472" s="15"/>
      <c r="AL472" s="14">
        <f t="shared" si="64"/>
        <v>3</v>
      </c>
      <c r="AM472" s="11">
        <f t="shared" si="65"/>
        <v>3</v>
      </c>
      <c r="AN472" s="14">
        <f t="shared" si="66"/>
        <v>3</v>
      </c>
      <c r="AO472" s="15"/>
      <c r="AP472" s="15"/>
      <c r="AQ472" s="15"/>
    </row>
    <row r="473" spans="1:43" ht="51" hidden="1" x14ac:dyDescent="0.2">
      <c r="A473" s="7">
        <v>472</v>
      </c>
      <c r="B473" s="19" t="s">
        <v>1003</v>
      </c>
      <c r="C473" s="19" t="s">
        <v>1004</v>
      </c>
      <c r="D473" s="8" t="s">
        <v>34</v>
      </c>
      <c r="E473" s="19" t="s">
        <v>269</v>
      </c>
      <c r="F473" s="8" t="s">
        <v>36</v>
      </c>
      <c r="G473" s="7" t="s">
        <v>59</v>
      </c>
      <c r="H473" s="9" t="s">
        <v>44</v>
      </c>
      <c r="I473" s="10"/>
      <c r="J473" s="10" t="s">
        <v>40</v>
      </c>
      <c r="K473" s="10" t="s">
        <v>40</v>
      </c>
      <c r="L473" s="10" t="s">
        <v>40</v>
      </c>
      <c r="M473">
        <v>0</v>
      </c>
      <c r="N473">
        <v>0</v>
      </c>
      <c r="O473">
        <v>0</v>
      </c>
      <c r="P473" s="10" t="s">
        <v>44</v>
      </c>
      <c r="Q473" s="10">
        <f t="array" ref="Q473">IFERROR(SUMPRODUCT((N473:P473&gt;0)*(N473:P473))/3, 0)</f>
        <v>0</v>
      </c>
      <c r="R473" s="10"/>
      <c r="S473" s="11" t="str">
        <f t="shared" si="62"/>
        <v/>
      </c>
      <c r="T473" s="7"/>
      <c r="U473" s="7"/>
      <c r="V473" s="7"/>
      <c r="W473" s="7"/>
      <c r="X473" s="7"/>
      <c r="Y473" s="7"/>
      <c r="Z473" s="15"/>
      <c r="AA473" s="15"/>
      <c r="AB473" s="11" t="str">
        <f t="shared" si="63"/>
        <v/>
      </c>
      <c r="AC473" s="11"/>
      <c r="AD473" s="11"/>
      <c r="AE473" s="11"/>
      <c r="AF473" s="11"/>
      <c r="AG473" s="11"/>
      <c r="AH473" s="11"/>
      <c r="AI473" s="11"/>
      <c r="AJ473" s="15"/>
      <c r="AK473" s="15"/>
      <c r="AL473" s="14">
        <f t="shared" si="64"/>
        <v>3</v>
      </c>
      <c r="AM473" s="11">
        <f t="shared" si="65"/>
        <v>3</v>
      </c>
      <c r="AN473" s="14">
        <f t="shared" si="66"/>
        <v>3</v>
      </c>
      <c r="AO473" s="15"/>
      <c r="AP473" s="15"/>
      <c r="AQ473" s="15"/>
    </row>
    <row r="474" spans="1:43" ht="34" hidden="1" x14ac:dyDescent="0.2">
      <c r="A474" s="7">
        <v>473</v>
      </c>
      <c r="B474" s="19" t="s">
        <v>1005</v>
      </c>
      <c r="C474" s="19" t="s">
        <v>1006</v>
      </c>
      <c r="D474" s="8" t="s">
        <v>34</v>
      </c>
      <c r="E474" s="19" t="s">
        <v>269</v>
      </c>
      <c r="F474" s="8" t="s">
        <v>36</v>
      </c>
      <c r="G474" s="7" t="s">
        <v>59</v>
      </c>
      <c r="H474" s="9" t="s">
        <v>44</v>
      </c>
      <c r="I474" s="10"/>
      <c r="J474" s="10" t="s">
        <v>40</v>
      </c>
      <c r="K474" s="10" t="s">
        <v>40</v>
      </c>
      <c r="L474" s="10" t="s">
        <v>40</v>
      </c>
      <c r="M474">
        <v>0</v>
      </c>
      <c r="N474">
        <v>0</v>
      </c>
      <c r="O474">
        <v>0</v>
      </c>
      <c r="P474" s="10" t="s">
        <v>44</v>
      </c>
      <c r="Q474" s="10">
        <f t="array" ref="Q474">IFERROR(SUMPRODUCT((N474:P474&gt;0)*(N474:P474))/3, 0)</f>
        <v>0</v>
      </c>
      <c r="R474" s="10"/>
      <c r="S474" s="11" t="str">
        <f t="shared" si="62"/>
        <v/>
      </c>
      <c r="T474" s="7"/>
      <c r="U474" s="7"/>
      <c r="V474" s="7"/>
      <c r="W474" s="7"/>
      <c r="X474" s="7"/>
      <c r="Y474" s="7"/>
      <c r="Z474" s="15"/>
      <c r="AA474" s="15"/>
      <c r="AB474" s="11" t="str">
        <f t="shared" si="63"/>
        <v/>
      </c>
      <c r="AC474" s="11"/>
      <c r="AD474" s="11"/>
      <c r="AE474" s="11"/>
      <c r="AF474" s="11"/>
      <c r="AG474" s="11"/>
      <c r="AH474" s="11"/>
      <c r="AI474" s="11"/>
      <c r="AJ474" s="15"/>
      <c r="AK474" s="15"/>
      <c r="AL474" s="14">
        <f t="shared" si="64"/>
        <v>3</v>
      </c>
      <c r="AM474" s="11">
        <f t="shared" si="65"/>
        <v>3</v>
      </c>
      <c r="AN474" s="14">
        <f t="shared" si="66"/>
        <v>3</v>
      </c>
      <c r="AO474" s="15"/>
      <c r="AP474" s="15"/>
      <c r="AQ474" s="15"/>
    </row>
    <row r="475" spans="1:43" ht="34" hidden="1" x14ac:dyDescent="0.2">
      <c r="A475" s="7">
        <v>474</v>
      </c>
      <c r="B475" s="19" t="s">
        <v>1007</v>
      </c>
      <c r="C475" s="19" t="s">
        <v>1008</v>
      </c>
      <c r="D475" s="8" t="s">
        <v>34</v>
      </c>
      <c r="E475" s="19" t="s">
        <v>269</v>
      </c>
      <c r="F475" s="8" t="s">
        <v>36</v>
      </c>
      <c r="G475" s="7" t="s">
        <v>59</v>
      </c>
      <c r="H475" s="9" t="s">
        <v>44</v>
      </c>
      <c r="I475" s="10"/>
      <c r="J475" s="10" t="s">
        <v>40</v>
      </c>
      <c r="K475" s="10" t="s">
        <v>40</v>
      </c>
      <c r="L475" s="10" t="s">
        <v>40</v>
      </c>
      <c r="M475">
        <v>0</v>
      </c>
      <c r="N475">
        <v>0</v>
      </c>
      <c r="O475">
        <v>0</v>
      </c>
      <c r="P475" s="10" t="s">
        <v>44</v>
      </c>
      <c r="Q475" s="10">
        <f t="array" ref="Q475">IFERROR(SUMPRODUCT((N475:P475&gt;0)*(N475:P475))/3, 0)</f>
        <v>0</v>
      </c>
      <c r="R475" s="10"/>
      <c r="S475" s="11" t="str">
        <f t="shared" si="62"/>
        <v/>
      </c>
      <c r="T475" s="7"/>
      <c r="U475" s="7"/>
      <c r="V475" s="7"/>
      <c r="W475" s="7"/>
      <c r="X475" s="7"/>
      <c r="Y475" s="7"/>
      <c r="Z475" s="15"/>
      <c r="AA475" s="15"/>
      <c r="AB475" s="11" t="str">
        <f t="shared" si="63"/>
        <v/>
      </c>
      <c r="AC475" s="11"/>
      <c r="AD475" s="11"/>
      <c r="AE475" s="11"/>
      <c r="AF475" s="11"/>
      <c r="AG475" s="11"/>
      <c r="AH475" s="11"/>
      <c r="AI475" s="11"/>
      <c r="AJ475" s="15"/>
      <c r="AK475" s="15"/>
      <c r="AL475" s="14">
        <f t="shared" si="64"/>
        <v>3</v>
      </c>
      <c r="AM475" s="11">
        <f t="shared" si="65"/>
        <v>3</v>
      </c>
      <c r="AN475" s="14">
        <f t="shared" si="66"/>
        <v>3</v>
      </c>
      <c r="AO475" s="15"/>
      <c r="AP475" s="15"/>
      <c r="AQ475" s="15"/>
    </row>
    <row r="476" spans="1:43" ht="34" hidden="1" x14ac:dyDescent="0.2">
      <c r="A476" s="7">
        <v>475</v>
      </c>
      <c r="B476" s="19" t="s">
        <v>1009</v>
      </c>
      <c r="C476" s="19" t="s">
        <v>1010</v>
      </c>
      <c r="D476" s="8" t="s">
        <v>34</v>
      </c>
      <c r="E476" s="19" t="s">
        <v>269</v>
      </c>
      <c r="F476" s="8" t="s">
        <v>36</v>
      </c>
      <c r="G476" s="7" t="s">
        <v>59</v>
      </c>
      <c r="H476" s="9" t="s">
        <v>44</v>
      </c>
      <c r="I476" s="10"/>
      <c r="J476" s="10" t="s">
        <v>40</v>
      </c>
      <c r="K476" s="10" t="s">
        <v>40</v>
      </c>
      <c r="L476" s="10" t="s">
        <v>40</v>
      </c>
      <c r="M476">
        <v>0</v>
      </c>
      <c r="N476">
        <v>0</v>
      </c>
      <c r="O476">
        <v>0</v>
      </c>
      <c r="P476" s="10" t="s">
        <v>44</v>
      </c>
      <c r="Q476" s="10">
        <f t="array" ref="Q476">IFERROR(SUMPRODUCT((N476:P476&gt;0)*(N476:P476))/3, 0)</f>
        <v>0</v>
      </c>
      <c r="R476" s="10"/>
      <c r="S476" s="11" t="str">
        <f t="shared" si="62"/>
        <v/>
      </c>
      <c r="T476" s="7"/>
      <c r="U476" s="7"/>
      <c r="V476" s="7"/>
      <c r="W476" s="7"/>
      <c r="X476" s="7"/>
      <c r="Y476" s="7"/>
      <c r="Z476" s="15"/>
      <c r="AA476" s="15"/>
      <c r="AB476" s="11" t="str">
        <f t="shared" si="63"/>
        <v/>
      </c>
      <c r="AC476" s="11"/>
      <c r="AD476" s="11"/>
      <c r="AE476" s="11"/>
      <c r="AF476" s="11"/>
      <c r="AG476" s="11"/>
      <c r="AH476" s="11"/>
      <c r="AI476" s="11"/>
      <c r="AJ476" s="15"/>
      <c r="AK476" s="15"/>
      <c r="AL476" s="14">
        <f t="shared" si="64"/>
        <v>3</v>
      </c>
      <c r="AM476" s="11">
        <f t="shared" si="65"/>
        <v>3</v>
      </c>
      <c r="AN476" s="14">
        <f t="shared" si="66"/>
        <v>3</v>
      </c>
      <c r="AO476" s="15"/>
      <c r="AP476" s="15"/>
      <c r="AQ476" s="15"/>
    </row>
    <row r="477" spans="1:43" ht="51" hidden="1" x14ac:dyDescent="0.2">
      <c r="A477" s="7">
        <v>476</v>
      </c>
      <c r="B477" s="19" t="s">
        <v>1011</v>
      </c>
      <c r="C477" s="19" t="s">
        <v>1012</v>
      </c>
      <c r="D477" s="8" t="s">
        <v>34</v>
      </c>
      <c r="E477" s="19" t="s">
        <v>269</v>
      </c>
      <c r="F477" s="8" t="s">
        <v>36</v>
      </c>
      <c r="G477" s="7" t="s">
        <v>59</v>
      </c>
      <c r="H477" s="9" t="s">
        <v>44</v>
      </c>
      <c r="I477" s="10"/>
      <c r="J477" s="10" t="s">
        <v>40</v>
      </c>
      <c r="K477" s="10" t="s">
        <v>40</v>
      </c>
      <c r="L477" s="10" t="s">
        <v>40</v>
      </c>
      <c r="M477">
        <v>0</v>
      </c>
      <c r="N477">
        <v>0</v>
      </c>
      <c r="O477">
        <v>0</v>
      </c>
      <c r="P477" s="10" t="s">
        <v>44</v>
      </c>
      <c r="Q477" s="10">
        <f t="array" ref="Q477">IFERROR(SUMPRODUCT((N477:P477&gt;0)*(N477:P477))/3, 0)</f>
        <v>0</v>
      </c>
      <c r="R477" s="10"/>
      <c r="S477" s="11" t="str">
        <f t="shared" si="62"/>
        <v/>
      </c>
      <c r="T477" s="7"/>
      <c r="U477" s="7"/>
      <c r="V477" s="7"/>
      <c r="W477" s="7"/>
      <c r="X477" s="7"/>
      <c r="Y477" s="7"/>
      <c r="Z477" s="15"/>
      <c r="AA477" s="15"/>
      <c r="AB477" s="11" t="str">
        <f t="shared" si="63"/>
        <v/>
      </c>
      <c r="AC477" s="11"/>
      <c r="AD477" s="11"/>
      <c r="AE477" s="11"/>
      <c r="AF477" s="11"/>
      <c r="AG477" s="11"/>
      <c r="AH477" s="11"/>
      <c r="AI477" s="11"/>
      <c r="AJ477" s="15"/>
      <c r="AK477" s="15"/>
      <c r="AL477" s="14">
        <f t="shared" si="64"/>
        <v>3</v>
      </c>
      <c r="AM477" s="11">
        <f t="shared" si="65"/>
        <v>3</v>
      </c>
      <c r="AN477" s="14">
        <f t="shared" si="66"/>
        <v>3</v>
      </c>
      <c r="AO477" s="15"/>
      <c r="AP477" s="15"/>
      <c r="AQ477" s="15"/>
    </row>
    <row r="478" spans="1:43" ht="68" hidden="1" x14ac:dyDescent="0.2">
      <c r="A478" s="7">
        <v>477</v>
      </c>
      <c r="B478" s="19" t="s">
        <v>1013</v>
      </c>
      <c r="C478" s="19" t="s">
        <v>1014</v>
      </c>
      <c r="D478" s="8" t="s">
        <v>34</v>
      </c>
      <c r="E478" s="19" t="s">
        <v>269</v>
      </c>
      <c r="F478" s="8" t="s">
        <v>36</v>
      </c>
      <c r="G478" s="7" t="s">
        <v>59</v>
      </c>
      <c r="H478" s="9" t="s">
        <v>44</v>
      </c>
      <c r="I478" s="10"/>
      <c r="J478" s="10" t="s">
        <v>40</v>
      </c>
      <c r="K478" s="10" t="s">
        <v>40</v>
      </c>
      <c r="L478" s="10" t="s">
        <v>40</v>
      </c>
      <c r="M478">
        <v>0</v>
      </c>
      <c r="N478">
        <v>0</v>
      </c>
      <c r="O478">
        <v>0</v>
      </c>
      <c r="P478" s="10" t="s">
        <v>44</v>
      </c>
      <c r="Q478" s="10">
        <f t="array" ref="Q478">IFERROR(SUMPRODUCT((N478:P478&gt;0)*(N478:P478))/3, 0)</f>
        <v>0</v>
      </c>
      <c r="R478" s="10"/>
      <c r="S478" s="11" t="str">
        <f t="shared" si="62"/>
        <v/>
      </c>
      <c r="T478" s="7"/>
      <c r="U478" s="7"/>
      <c r="V478" s="7"/>
      <c r="W478" s="7"/>
      <c r="X478" s="7"/>
      <c r="Y478" s="7"/>
      <c r="Z478" s="15"/>
      <c r="AA478" s="15"/>
      <c r="AB478" s="11" t="str">
        <f t="shared" si="63"/>
        <v/>
      </c>
      <c r="AC478" s="11"/>
      <c r="AD478" s="11"/>
      <c r="AE478" s="11"/>
      <c r="AF478" s="11"/>
      <c r="AG478" s="11"/>
      <c r="AH478" s="11"/>
      <c r="AI478" s="11"/>
      <c r="AJ478" s="15"/>
      <c r="AK478" s="15"/>
      <c r="AL478" s="14">
        <f t="shared" si="64"/>
        <v>3</v>
      </c>
      <c r="AM478" s="11">
        <f t="shared" si="65"/>
        <v>3</v>
      </c>
      <c r="AN478" s="14">
        <f t="shared" si="66"/>
        <v>3</v>
      </c>
      <c r="AO478" s="15"/>
      <c r="AP478" s="15"/>
      <c r="AQ478" s="15"/>
    </row>
    <row r="479" spans="1:43" ht="51" hidden="1" x14ac:dyDescent="0.2">
      <c r="A479" s="7">
        <v>478</v>
      </c>
      <c r="B479" s="19" t="s">
        <v>1015</v>
      </c>
      <c r="C479" s="19" t="s">
        <v>1016</v>
      </c>
      <c r="D479" s="8" t="s">
        <v>34</v>
      </c>
      <c r="E479" s="19" t="s">
        <v>269</v>
      </c>
      <c r="F479" s="8" t="s">
        <v>36</v>
      </c>
      <c r="G479" s="7" t="s">
        <v>59</v>
      </c>
      <c r="H479" s="9" t="s">
        <v>44</v>
      </c>
      <c r="I479" s="10"/>
      <c r="J479" s="10" t="s">
        <v>40</v>
      </c>
      <c r="K479" s="10" t="s">
        <v>40</v>
      </c>
      <c r="L479" s="10" t="s">
        <v>40</v>
      </c>
      <c r="M479">
        <v>0</v>
      </c>
      <c r="N479">
        <v>0</v>
      </c>
      <c r="O479">
        <v>0</v>
      </c>
      <c r="P479" s="10" t="s">
        <v>44</v>
      </c>
      <c r="Q479" s="10">
        <f t="array" ref="Q479">IFERROR(SUMPRODUCT((N479:P479&gt;0)*(N479:P479))/3, 0)</f>
        <v>0</v>
      </c>
      <c r="R479" s="10"/>
      <c r="S479" s="11" t="str">
        <f t="shared" si="62"/>
        <v/>
      </c>
      <c r="T479" s="7"/>
      <c r="U479" s="7"/>
      <c r="V479" s="7"/>
      <c r="W479" s="7"/>
      <c r="X479" s="7"/>
      <c r="Y479" s="7"/>
      <c r="Z479" s="15"/>
      <c r="AA479" s="15"/>
      <c r="AB479" s="11" t="str">
        <f t="shared" si="63"/>
        <v/>
      </c>
      <c r="AC479" s="11"/>
      <c r="AD479" s="11"/>
      <c r="AE479" s="11"/>
      <c r="AF479" s="11"/>
      <c r="AG479" s="11"/>
      <c r="AH479" s="11"/>
      <c r="AI479" s="11"/>
      <c r="AJ479" s="15"/>
      <c r="AK479" s="15"/>
      <c r="AL479" s="14">
        <f t="shared" si="64"/>
        <v>3</v>
      </c>
      <c r="AM479" s="11">
        <f t="shared" si="65"/>
        <v>3</v>
      </c>
      <c r="AN479" s="14">
        <f t="shared" si="66"/>
        <v>3</v>
      </c>
      <c r="AO479" s="15"/>
      <c r="AP479" s="15"/>
      <c r="AQ479" s="15"/>
    </row>
    <row r="480" spans="1:43" ht="51" hidden="1" x14ac:dyDescent="0.2">
      <c r="A480" s="7">
        <v>479</v>
      </c>
      <c r="B480" s="19" t="s">
        <v>1017</v>
      </c>
      <c r="C480" s="19" t="s">
        <v>1018</v>
      </c>
      <c r="D480" s="8" t="s">
        <v>34</v>
      </c>
      <c r="E480" s="19" t="s">
        <v>269</v>
      </c>
      <c r="F480" s="8" t="s">
        <v>36</v>
      </c>
      <c r="G480" s="7" t="s">
        <v>59</v>
      </c>
      <c r="H480" s="9" t="s">
        <v>44</v>
      </c>
      <c r="I480" s="10"/>
      <c r="J480" s="10" t="s">
        <v>40</v>
      </c>
      <c r="K480" s="10" t="s">
        <v>40</v>
      </c>
      <c r="L480" s="10" t="s">
        <v>40</v>
      </c>
      <c r="M480">
        <v>0</v>
      </c>
      <c r="N480">
        <v>0</v>
      </c>
      <c r="O480">
        <v>0</v>
      </c>
      <c r="P480" s="10" t="s">
        <v>44</v>
      </c>
      <c r="Q480" s="10">
        <f t="array" ref="Q480">IFERROR(SUMPRODUCT((N480:P480&gt;0)*(N480:P480))/3, 0)</f>
        <v>0</v>
      </c>
      <c r="R480" s="10"/>
      <c r="S480" s="11" t="str">
        <f t="shared" si="62"/>
        <v/>
      </c>
      <c r="T480" s="7"/>
      <c r="U480" s="7"/>
      <c r="V480" s="7"/>
      <c r="W480" s="7"/>
      <c r="X480" s="7"/>
      <c r="Y480" s="7"/>
      <c r="Z480" s="15"/>
      <c r="AA480" s="15"/>
      <c r="AB480" s="11" t="str">
        <f t="shared" si="63"/>
        <v/>
      </c>
      <c r="AC480" s="11"/>
      <c r="AD480" s="11"/>
      <c r="AE480" s="11"/>
      <c r="AF480" s="11"/>
      <c r="AG480" s="11"/>
      <c r="AH480" s="11"/>
      <c r="AI480" s="11"/>
      <c r="AJ480" s="15"/>
      <c r="AK480" s="15"/>
      <c r="AL480" s="14">
        <f t="shared" si="64"/>
        <v>3</v>
      </c>
      <c r="AM480" s="11">
        <f t="shared" si="65"/>
        <v>3</v>
      </c>
      <c r="AN480" s="14">
        <f t="shared" si="66"/>
        <v>3</v>
      </c>
      <c r="AO480" s="15"/>
      <c r="AP480" s="15"/>
      <c r="AQ480" s="15"/>
    </row>
    <row r="481" spans="1:43" ht="34" hidden="1" x14ac:dyDescent="0.2">
      <c r="A481" s="7">
        <v>480</v>
      </c>
      <c r="B481" s="19" t="s">
        <v>1019</v>
      </c>
      <c r="C481" s="19" t="s">
        <v>1020</v>
      </c>
      <c r="D481" s="8" t="s">
        <v>34</v>
      </c>
      <c r="E481" s="19" t="s">
        <v>269</v>
      </c>
      <c r="F481" s="8" t="s">
        <v>36</v>
      </c>
      <c r="G481" s="7" t="s">
        <v>59</v>
      </c>
      <c r="H481" s="9" t="s">
        <v>44</v>
      </c>
      <c r="I481" s="10"/>
      <c r="J481" s="10" t="s">
        <v>40</v>
      </c>
      <c r="K481" s="10" t="s">
        <v>40</v>
      </c>
      <c r="L481" s="10" t="s">
        <v>40</v>
      </c>
      <c r="M481">
        <v>0</v>
      </c>
      <c r="N481">
        <v>0</v>
      </c>
      <c r="O481">
        <v>0</v>
      </c>
      <c r="P481" s="10" t="s">
        <v>44</v>
      </c>
      <c r="Q481" s="10">
        <f t="array" ref="Q481">IFERROR(SUMPRODUCT((N481:P481&gt;0)*(N481:P481))/3, 0)</f>
        <v>0</v>
      </c>
      <c r="R481" s="10"/>
      <c r="S481" s="11" t="str">
        <f t="shared" si="62"/>
        <v/>
      </c>
      <c r="T481" s="7"/>
      <c r="U481" s="7"/>
      <c r="V481" s="7"/>
      <c r="W481" s="7"/>
      <c r="X481" s="7"/>
      <c r="Y481" s="7"/>
      <c r="Z481" s="15"/>
      <c r="AA481" s="15"/>
      <c r="AB481" s="11" t="str">
        <f t="shared" si="63"/>
        <v/>
      </c>
      <c r="AC481" s="11"/>
      <c r="AD481" s="11"/>
      <c r="AE481" s="11"/>
      <c r="AF481" s="11"/>
      <c r="AG481" s="11"/>
      <c r="AH481" s="11"/>
      <c r="AI481" s="11"/>
      <c r="AJ481" s="15"/>
      <c r="AK481" s="15"/>
      <c r="AL481" s="14">
        <f t="shared" si="64"/>
        <v>3</v>
      </c>
      <c r="AM481" s="11">
        <f t="shared" si="65"/>
        <v>3</v>
      </c>
      <c r="AN481" s="14">
        <f t="shared" si="66"/>
        <v>3</v>
      </c>
      <c r="AO481" s="15"/>
      <c r="AP481" s="15"/>
      <c r="AQ481" s="15"/>
    </row>
    <row r="482" spans="1:43" ht="51" hidden="1" x14ac:dyDescent="0.2">
      <c r="A482" s="7">
        <v>481</v>
      </c>
      <c r="B482" s="19" t="s">
        <v>1021</v>
      </c>
      <c r="C482" s="19" t="s">
        <v>1022</v>
      </c>
      <c r="D482" s="8" t="s">
        <v>34</v>
      </c>
      <c r="E482" s="19" t="s">
        <v>269</v>
      </c>
      <c r="F482" s="8" t="s">
        <v>36</v>
      </c>
      <c r="G482" s="7" t="s">
        <v>59</v>
      </c>
      <c r="H482" s="9" t="s">
        <v>44</v>
      </c>
      <c r="I482" s="10"/>
      <c r="J482" s="10" t="s">
        <v>40</v>
      </c>
      <c r="K482" s="10" t="s">
        <v>40</v>
      </c>
      <c r="L482" s="10" t="s">
        <v>40</v>
      </c>
      <c r="M482">
        <v>0</v>
      </c>
      <c r="N482">
        <v>0</v>
      </c>
      <c r="O482">
        <v>0</v>
      </c>
      <c r="P482" s="10" t="s">
        <v>44</v>
      </c>
      <c r="Q482" s="10">
        <f t="array" ref="Q482">IFERROR(SUMPRODUCT((N482:P482&gt;0)*(N482:P482))/3, 0)</f>
        <v>0</v>
      </c>
      <c r="R482" s="10"/>
      <c r="S482" s="11" t="str">
        <f t="shared" si="62"/>
        <v/>
      </c>
      <c r="T482" s="7"/>
      <c r="U482" s="7"/>
      <c r="V482" s="7"/>
      <c r="W482" s="7"/>
      <c r="X482" s="7"/>
      <c r="Y482" s="7"/>
      <c r="Z482" s="15"/>
      <c r="AA482" s="15"/>
      <c r="AB482" s="11" t="str">
        <f t="shared" si="63"/>
        <v/>
      </c>
      <c r="AC482" s="11"/>
      <c r="AD482" s="11"/>
      <c r="AE482" s="11"/>
      <c r="AF482" s="11"/>
      <c r="AG482" s="11"/>
      <c r="AH482" s="11"/>
      <c r="AI482" s="11"/>
      <c r="AJ482" s="15"/>
      <c r="AK482" s="15"/>
      <c r="AL482" s="14">
        <f t="shared" si="64"/>
        <v>3</v>
      </c>
      <c r="AM482" s="11">
        <f t="shared" si="65"/>
        <v>3</v>
      </c>
      <c r="AN482" s="14">
        <f t="shared" si="66"/>
        <v>3</v>
      </c>
      <c r="AO482" s="15"/>
      <c r="AP482" s="15"/>
      <c r="AQ482" s="15"/>
    </row>
    <row r="483" spans="1:43" ht="34" hidden="1" x14ac:dyDescent="0.2">
      <c r="A483" s="7">
        <v>482</v>
      </c>
      <c r="B483" s="19" t="s">
        <v>1023</v>
      </c>
      <c r="C483" s="19" t="s">
        <v>1024</v>
      </c>
      <c r="D483" s="8" t="s">
        <v>34</v>
      </c>
      <c r="E483" s="19" t="s">
        <v>269</v>
      </c>
      <c r="F483" s="8" t="s">
        <v>36</v>
      </c>
      <c r="G483" s="7" t="s">
        <v>59</v>
      </c>
      <c r="H483" s="9" t="s">
        <v>44</v>
      </c>
      <c r="I483" s="10"/>
      <c r="J483" s="10" t="s">
        <v>40</v>
      </c>
      <c r="K483" s="10" t="s">
        <v>40</v>
      </c>
      <c r="L483" s="10" t="s">
        <v>40</v>
      </c>
      <c r="M483">
        <v>0</v>
      </c>
      <c r="N483">
        <v>0</v>
      </c>
      <c r="O483">
        <v>0</v>
      </c>
      <c r="P483" s="10" t="s">
        <v>44</v>
      </c>
      <c r="Q483" s="10">
        <f t="array" ref="Q483">IFERROR(SUMPRODUCT((N483:P483&gt;0)*(N483:P483))/3, 0)</f>
        <v>0</v>
      </c>
      <c r="R483" s="10"/>
      <c r="S483" s="11" t="str">
        <f t="shared" si="62"/>
        <v/>
      </c>
      <c r="T483" s="7"/>
      <c r="U483" s="7"/>
      <c r="V483" s="7"/>
      <c r="W483" s="7"/>
      <c r="X483" s="7"/>
      <c r="Y483" s="7"/>
      <c r="Z483" s="15"/>
      <c r="AA483" s="15"/>
      <c r="AB483" s="11" t="str">
        <f t="shared" si="63"/>
        <v/>
      </c>
      <c r="AC483" s="11"/>
      <c r="AD483" s="11"/>
      <c r="AE483" s="11"/>
      <c r="AF483" s="11"/>
      <c r="AG483" s="11"/>
      <c r="AH483" s="11"/>
      <c r="AI483" s="11"/>
      <c r="AJ483" s="15"/>
      <c r="AK483" s="15"/>
      <c r="AL483" s="14">
        <f t="shared" si="64"/>
        <v>3</v>
      </c>
      <c r="AM483" s="11">
        <f t="shared" si="65"/>
        <v>3</v>
      </c>
      <c r="AN483" s="14">
        <f t="shared" si="66"/>
        <v>3</v>
      </c>
      <c r="AO483" s="15"/>
      <c r="AP483" s="15"/>
      <c r="AQ483" s="15"/>
    </row>
    <row r="484" spans="1:43" ht="34" hidden="1" x14ac:dyDescent="0.2">
      <c r="A484" s="7">
        <v>483</v>
      </c>
      <c r="B484" s="19" t="s">
        <v>1025</v>
      </c>
      <c r="C484" s="19" t="s">
        <v>1026</v>
      </c>
      <c r="D484" s="8" t="s">
        <v>34</v>
      </c>
      <c r="E484" s="19" t="s">
        <v>269</v>
      </c>
      <c r="F484" s="8" t="s">
        <v>36</v>
      </c>
      <c r="G484" s="7" t="s">
        <v>59</v>
      </c>
      <c r="H484" s="9" t="s">
        <v>44</v>
      </c>
      <c r="I484" s="10"/>
      <c r="J484" s="10" t="s">
        <v>40</v>
      </c>
      <c r="K484" s="10" t="s">
        <v>40</v>
      </c>
      <c r="L484" s="10" t="s">
        <v>40</v>
      </c>
      <c r="M484">
        <v>0</v>
      </c>
      <c r="N484">
        <v>0</v>
      </c>
      <c r="O484">
        <v>0</v>
      </c>
      <c r="P484" s="10" t="s">
        <v>44</v>
      </c>
      <c r="Q484" s="10">
        <f t="array" ref="Q484">IFERROR(SUMPRODUCT((N484:P484&gt;0)*(N484:P484))/3, 0)</f>
        <v>0</v>
      </c>
      <c r="R484" s="10"/>
      <c r="S484" s="11" t="str">
        <f t="shared" si="62"/>
        <v/>
      </c>
      <c r="T484" s="7"/>
      <c r="U484" s="7"/>
      <c r="V484" s="7"/>
      <c r="W484" s="7"/>
      <c r="X484" s="7"/>
      <c r="Y484" s="7"/>
      <c r="Z484" s="15"/>
      <c r="AA484" s="15"/>
      <c r="AB484" s="11" t="str">
        <f t="shared" si="63"/>
        <v/>
      </c>
      <c r="AC484" s="11"/>
      <c r="AD484" s="11"/>
      <c r="AE484" s="11"/>
      <c r="AF484" s="11"/>
      <c r="AG484" s="11"/>
      <c r="AH484" s="11"/>
      <c r="AI484" s="11"/>
      <c r="AJ484" s="15"/>
      <c r="AK484" s="15"/>
      <c r="AL484" s="14">
        <f t="shared" si="64"/>
        <v>3</v>
      </c>
      <c r="AM484" s="11">
        <f t="shared" si="65"/>
        <v>3</v>
      </c>
      <c r="AN484" s="14">
        <f t="shared" si="66"/>
        <v>3</v>
      </c>
      <c r="AO484" s="15"/>
      <c r="AP484" s="15"/>
      <c r="AQ484" s="15"/>
    </row>
    <row r="485" spans="1:43" ht="34" hidden="1" x14ac:dyDescent="0.2">
      <c r="A485" s="7">
        <v>484</v>
      </c>
      <c r="B485" s="19" t="s">
        <v>1027</v>
      </c>
      <c r="C485" s="19" t="s">
        <v>1028</v>
      </c>
      <c r="D485" s="8" t="s">
        <v>34</v>
      </c>
      <c r="E485" s="19" t="s">
        <v>269</v>
      </c>
      <c r="F485" s="8" t="s">
        <v>36</v>
      </c>
      <c r="G485" s="7" t="s">
        <v>59</v>
      </c>
      <c r="H485" s="9" t="s">
        <v>44</v>
      </c>
      <c r="I485" s="10"/>
      <c r="J485" s="10" t="s">
        <v>40</v>
      </c>
      <c r="K485" s="10" t="s">
        <v>40</v>
      </c>
      <c r="L485" s="10" t="s">
        <v>40</v>
      </c>
      <c r="M485">
        <v>0</v>
      </c>
      <c r="N485">
        <v>0</v>
      </c>
      <c r="O485">
        <v>0</v>
      </c>
      <c r="P485" s="10" t="s">
        <v>44</v>
      </c>
      <c r="Q485" s="10">
        <f t="array" ref="Q485">IFERROR(SUMPRODUCT((N485:P485&gt;0)*(N485:P485))/3, 0)</f>
        <v>0</v>
      </c>
      <c r="R485" s="10"/>
      <c r="S485" s="11" t="str">
        <f t="shared" si="62"/>
        <v/>
      </c>
      <c r="T485" s="7"/>
      <c r="U485" s="7"/>
      <c r="V485" s="7"/>
      <c r="W485" s="7"/>
      <c r="X485" s="7"/>
      <c r="Y485" s="7"/>
      <c r="Z485" s="15"/>
      <c r="AA485" s="15"/>
      <c r="AB485" s="11" t="str">
        <f t="shared" si="63"/>
        <v/>
      </c>
      <c r="AC485" s="11"/>
      <c r="AD485" s="11"/>
      <c r="AE485" s="11"/>
      <c r="AF485" s="11"/>
      <c r="AG485" s="11"/>
      <c r="AH485" s="11"/>
      <c r="AI485" s="11"/>
      <c r="AJ485" s="15"/>
      <c r="AK485" s="15"/>
      <c r="AL485" s="14">
        <f t="shared" si="64"/>
        <v>3</v>
      </c>
      <c r="AM485" s="11">
        <f t="shared" si="65"/>
        <v>3</v>
      </c>
      <c r="AN485" s="14">
        <f t="shared" si="66"/>
        <v>3</v>
      </c>
      <c r="AO485" s="15"/>
      <c r="AP485" s="15"/>
      <c r="AQ485" s="15"/>
    </row>
    <row r="486" spans="1:43" ht="34" hidden="1" x14ac:dyDescent="0.2">
      <c r="A486" s="7">
        <v>485</v>
      </c>
      <c r="B486" s="19" t="s">
        <v>1029</v>
      </c>
      <c r="C486" s="19" t="s">
        <v>1030</v>
      </c>
      <c r="D486" s="8" t="s">
        <v>34</v>
      </c>
      <c r="E486" s="19" t="s">
        <v>269</v>
      </c>
      <c r="F486" s="8" t="s">
        <v>36</v>
      </c>
      <c r="G486" s="7" t="s">
        <v>59</v>
      </c>
      <c r="H486" s="9" t="s">
        <v>44</v>
      </c>
      <c r="I486" s="10"/>
      <c r="J486" s="10" t="s">
        <v>40</v>
      </c>
      <c r="K486" s="10" t="s">
        <v>40</v>
      </c>
      <c r="L486" s="10" t="s">
        <v>40</v>
      </c>
      <c r="M486">
        <v>0</v>
      </c>
      <c r="N486">
        <v>0</v>
      </c>
      <c r="O486">
        <v>0</v>
      </c>
      <c r="P486" s="10" t="s">
        <v>44</v>
      </c>
      <c r="Q486" s="10">
        <f t="array" ref="Q486">IFERROR(SUMPRODUCT((N486:P486&gt;0)*(N486:P486))/3, 0)</f>
        <v>0</v>
      </c>
      <c r="R486" s="10"/>
      <c r="S486" s="11" t="str">
        <f t="shared" si="62"/>
        <v/>
      </c>
      <c r="T486" s="7"/>
      <c r="U486" s="7"/>
      <c r="V486" s="7"/>
      <c r="W486" s="7"/>
      <c r="X486" s="7"/>
      <c r="Y486" s="7"/>
      <c r="Z486" s="15"/>
      <c r="AA486" s="15"/>
      <c r="AB486" s="11" t="str">
        <f t="shared" si="63"/>
        <v/>
      </c>
      <c r="AC486" s="11"/>
      <c r="AD486" s="11"/>
      <c r="AE486" s="11"/>
      <c r="AF486" s="11"/>
      <c r="AG486" s="11"/>
      <c r="AH486" s="11"/>
      <c r="AI486" s="11"/>
      <c r="AJ486" s="15"/>
      <c r="AK486" s="15"/>
      <c r="AL486" s="14">
        <f t="shared" si="64"/>
        <v>3</v>
      </c>
      <c r="AM486" s="11">
        <f t="shared" si="65"/>
        <v>3</v>
      </c>
      <c r="AN486" s="14">
        <f t="shared" si="66"/>
        <v>3</v>
      </c>
      <c r="AO486" s="15"/>
      <c r="AP486" s="15"/>
      <c r="AQ486" s="15"/>
    </row>
    <row r="487" spans="1:43" ht="51" hidden="1" x14ac:dyDescent="0.2">
      <c r="A487" s="7">
        <v>486</v>
      </c>
      <c r="B487" s="19" t="s">
        <v>1031</v>
      </c>
      <c r="C487" s="19" t="s">
        <v>1032</v>
      </c>
      <c r="D487" s="8" t="s">
        <v>34</v>
      </c>
      <c r="E487" s="19" t="s">
        <v>269</v>
      </c>
      <c r="F487" s="8" t="s">
        <v>36</v>
      </c>
      <c r="G487" s="7" t="s">
        <v>59</v>
      </c>
      <c r="H487" s="9" t="s">
        <v>44</v>
      </c>
      <c r="I487" s="10"/>
      <c r="J487" s="10" t="s">
        <v>40</v>
      </c>
      <c r="K487" s="10" t="s">
        <v>40</v>
      </c>
      <c r="L487" s="10" t="s">
        <v>40</v>
      </c>
      <c r="M487">
        <v>0</v>
      </c>
      <c r="N487">
        <v>0</v>
      </c>
      <c r="O487">
        <v>0</v>
      </c>
      <c r="P487" s="10" t="s">
        <v>44</v>
      </c>
      <c r="Q487" s="10">
        <f t="array" ref="Q487">IFERROR(SUMPRODUCT((N487:P487&gt;0)*(N487:P487))/3, 0)</f>
        <v>0</v>
      </c>
      <c r="R487" s="10"/>
      <c r="S487" s="11" t="str">
        <f t="shared" si="62"/>
        <v/>
      </c>
      <c r="T487" s="7"/>
      <c r="U487" s="7"/>
      <c r="V487" s="7"/>
      <c r="W487" s="7"/>
      <c r="X487" s="7"/>
      <c r="Y487" s="7"/>
      <c r="Z487" s="15"/>
      <c r="AA487" s="15"/>
      <c r="AB487" s="11" t="str">
        <f t="shared" si="63"/>
        <v/>
      </c>
      <c r="AC487" s="11"/>
      <c r="AD487" s="11"/>
      <c r="AE487" s="11"/>
      <c r="AF487" s="11"/>
      <c r="AG487" s="11"/>
      <c r="AH487" s="11"/>
      <c r="AI487" s="11"/>
      <c r="AJ487" s="15"/>
      <c r="AK487" s="15"/>
      <c r="AL487" s="14">
        <f t="shared" si="64"/>
        <v>3</v>
      </c>
      <c r="AM487" s="11">
        <f t="shared" si="65"/>
        <v>3</v>
      </c>
      <c r="AN487" s="14">
        <f t="shared" si="66"/>
        <v>3</v>
      </c>
      <c r="AO487" s="15"/>
      <c r="AP487" s="15"/>
      <c r="AQ487" s="15"/>
    </row>
    <row r="488" spans="1:43" ht="51" hidden="1" x14ac:dyDescent="0.2">
      <c r="A488" s="7">
        <v>487</v>
      </c>
      <c r="B488" s="19" t="s">
        <v>1033</v>
      </c>
      <c r="C488" s="19" t="s">
        <v>1034</v>
      </c>
      <c r="D488" s="8" t="s">
        <v>34</v>
      </c>
      <c r="E488" s="19" t="s">
        <v>269</v>
      </c>
      <c r="F488" s="8" t="s">
        <v>36</v>
      </c>
      <c r="G488" s="7" t="s">
        <v>59</v>
      </c>
      <c r="H488" s="9" t="s">
        <v>44</v>
      </c>
      <c r="I488" s="10"/>
      <c r="J488" s="10" t="s">
        <v>40</v>
      </c>
      <c r="K488" s="10" t="s">
        <v>40</v>
      </c>
      <c r="L488" s="10" t="s">
        <v>40</v>
      </c>
      <c r="M488">
        <v>0</v>
      </c>
      <c r="N488">
        <v>0</v>
      </c>
      <c r="O488">
        <v>0</v>
      </c>
      <c r="P488" s="10" t="s">
        <v>44</v>
      </c>
      <c r="Q488" s="10">
        <f t="array" ref="Q488">IFERROR(SUMPRODUCT((N488:P488&gt;0)*(N488:P488))/3, 0)</f>
        <v>0</v>
      </c>
      <c r="R488" s="10"/>
      <c r="S488" s="11" t="str">
        <f t="shared" si="62"/>
        <v/>
      </c>
      <c r="T488" s="7"/>
      <c r="U488" s="7"/>
      <c r="V488" s="7"/>
      <c r="W488" s="7"/>
      <c r="X488" s="7"/>
      <c r="Y488" s="7"/>
      <c r="Z488" s="15"/>
      <c r="AA488" s="15"/>
      <c r="AB488" s="11" t="str">
        <f t="shared" si="63"/>
        <v/>
      </c>
      <c r="AC488" s="11"/>
      <c r="AD488" s="11"/>
      <c r="AE488" s="11"/>
      <c r="AF488" s="11"/>
      <c r="AG488" s="11"/>
      <c r="AH488" s="11"/>
      <c r="AI488" s="11"/>
      <c r="AJ488" s="15"/>
      <c r="AK488" s="15"/>
      <c r="AL488" s="14">
        <f t="shared" si="64"/>
        <v>3</v>
      </c>
      <c r="AM488" s="11">
        <f t="shared" si="65"/>
        <v>3</v>
      </c>
      <c r="AN488" s="14">
        <f t="shared" si="66"/>
        <v>3</v>
      </c>
      <c r="AO488" s="15"/>
      <c r="AP488" s="15"/>
      <c r="AQ488" s="15"/>
    </row>
    <row r="489" spans="1:43" ht="51" hidden="1" x14ac:dyDescent="0.2">
      <c r="A489" s="7">
        <v>488</v>
      </c>
      <c r="B489" s="19" t="s">
        <v>1035</v>
      </c>
      <c r="C489" s="19" t="s">
        <v>1036</v>
      </c>
      <c r="D489" s="8" t="s">
        <v>34</v>
      </c>
      <c r="E489" s="19" t="s">
        <v>269</v>
      </c>
      <c r="F489" s="8" t="s">
        <v>36</v>
      </c>
      <c r="G489" s="7" t="s">
        <v>59</v>
      </c>
      <c r="H489" s="9" t="s">
        <v>44</v>
      </c>
      <c r="I489" s="10"/>
      <c r="J489" s="10" t="s">
        <v>40</v>
      </c>
      <c r="K489" s="10" t="s">
        <v>40</v>
      </c>
      <c r="L489" s="10" t="s">
        <v>40</v>
      </c>
      <c r="M489">
        <v>0</v>
      </c>
      <c r="N489">
        <v>0</v>
      </c>
      <c r="O489">
        <v>0</v>
      </c>
      <c r="P489" s="10" t="s">
        <v>44</v>
      </c>
      <c r="Q489" s="10">
        <f t="array" ref="Q489">IFERROR(SUMPRODUCT((N489:P489&gt;0)*(N489:P489))/3, 0)</f>
        <v>0</v>
      </c>
      <c r="R489" s="10"/>
      <c r="S489" s="11" t="str">
        <f t="shared" si="62"/>
        <v/>
      </c>
      <c r="T489" s="7"/>
      <c r="U489" s="7"/>
      <c r="V489" s="7"/>
      <c r="W489" s="7"/>
      <c r="X489" s="7"/>
      <c r="Y489" s="7"/>
      <c r="Z489" s="15"/>
      <c r="AA489" s="15"/>
      <c r="AB489" s="11" t="str">
        <f t="shared" si="63"/>
        <v/>
      </c>
      <c r="AC489" s="11"/>
      <c r="AD489" s="11"/>
      <c r="AE489" s="11"/>
      <c r="AF489" s="11"/>
      <c r="AG489" s="11"/>
      <c r="AH489" s="11"/>
      <c r="AI489" s="11"/>
      <c r="AJ489" s="15"/>
      <c r="AK489" s="15"/>
      <c r="AL489" s="14">
        <f t="shared" si="64"/>
        <v>3</v>
      </c>
      <c r="AM489" s="11">
        <f t="shared" si="65"/>
        <v>3</v>
      </c>
      <c r="AN489" s="14">
        <f t="shared" si="66"/>
        <v>3</v>
      </c>
      <c r="AO489" s="15"/>
      <c r="AP489" s="15"/>
      <c r="AQ489" s="15"/>
    </row>
    <row r="490" spans="1:43" ht="34" hidden="1" x14ac:dyDescent="0.2">
      <c r="A490" s="7">
        <v>489</v>
      </c>
      <c r="B490" s="19" t="s">
        <v>1037</v>
      </c>
      <c r="C490" s="19" t="s">
        <v>1038</v>
      </c>
      <c r="D490" s="8" t="s">
        <v>34</v>
      </c>
      <c r="E490" s="19" t="s">
        <v>269</v>
      </c>
      <c r="F490" s="8" t="s">
        <v>36</v>
      </c>
      <c r="G490" s="7" t="s">
        <v>59</v>
      </c>
      <c r="H490" s="9" t="s">
        <v>44</v>
      </c>
      <c r="I490" s="10"/>
      <c r="J490" s="10" t="s">
        <v>40</v>
      </c>
      <c r="K490" s="10" t="s">
        <v>40</v>
      </c>
      <c r="L490" s="10" t="s">
        <v>40</v>
      </c>
      <c r="M490">
        <v>0</v>
      </c>
      <c r="N490">
        <v>0</v>
      </c>
      <c r="O490">
        <v>0</v>
      </c>
      <c r="P490" s="10" t="s">
        <v>44</v>
      </c>
      <c r="Q490" s="10">
        <f t="array" ref="Q490">IFERROR(SUMPRODUCT((N490:P490&gt;0)*(N490:P490))/3, 0)</f>
        <v>0</v>
      </c>
      <c r="R490" s="10"/>
      <c r="S490" s="11" t="str">
        <f t="shared" si="62"/>
        <v/>
      </c>
      <c r="T490" s="7"/>
      <c r="U490" s="7"/>
      <c r="V490" s="7"/>
      <c r="W490" s="7"/>
      <c r="X490" s="7"/>
      <c r="Y490" s="7"/>
      <c r="Z490" s="15"/>
      <c r="AA490" s="15"/>
      <c r="AB490" s="11" t="str">
        <f t="shared" si="63"/>
        <v/>
      </c>
      <c r="AC490" s="11"/>
      <c r="AD490" s="11"/>
      <c r="AE490" s="11"/>
      <c r="AF490" s="11"/>
      <c r="AG490" s="11"/>
      <c r="AH490" s="11"/>
      <c r="AI490" s="11"/>
      <c r="AJ490" s="15"/>
      <c r="AK490" s="15"/>
      <c r="AL490" s="14">
        <f t="shared" si="64"/>
        <v>3</v>
      </c>
      <c r="AM490" s="11">
        <f t="shared" si="65"/>
        <v>3</v>
      </c>
      <c r="AN490" s="14">
        <f t="shared" si="66"/>
        <v>3</v>
      </c>
      <c r="AO490" s="15"/>
      <c r="AP490" s="15"/>
      <c r="AQ490" s="15"/>
    </row>
    <row r="491" spans="1:43" ht="34" hidden="1" x14ac:dyDescent="0.2">
      <c r="A491" s="7">
        <v>490</v>
      </c>
      <c r="B491" s="19" t="s">
        <v>1039</v>
      </c>
      <c r="C491" s="19" t="s">
        <v>1040</v>
      </c>
      <c r="D491" s="8" t="s">
        <v>34</v>
      </c>
      <c r="E491" s="19" t="s">
        <v>269</v>
      </c>
      <c r="F491" s="8" t="s">
        <v>36</v>
      </c>
      <c r="G491" s="7" t="s">
        <v>59</v>
      </c>
      <c r="H491" s="9" t="s">
        <v>44</v>
      </c>
      <c r="I491" s="10"/>
      <c r="J491" s="10" t="s">
        <v>40</v>
      </c>
      <c r="K491" s="10" t="s">
        <v>40</v>
      </c>
      <c r="L491" s="10" t="s">
        <v>40</v>
      </c>
      <c r="M491">
        <v>0</v>
      </c>
      <c r="N491">
        <v>0</v>
      </c>
      <c r="O491">
        <v>0</v>
      </c>
      <c r="P491" s="10" t="s">
        <v>44</v>
      </c>
      <c r="Q491" s="10">
        <f t="array" ref="Q491">IFERROR(SUMPRODUCT((N491:P491&gt;0)*(N491:P491))/3, 0)</f>
        <v>0</v>
      </c>
      <c r="R491" s="10"/>
      <c r="S491" s="11" t="str">
        <f t="shared" si="62"/>
        <v/>
      </c>
      <c r="T491" s="7"/>
      <c r="U491" s="7"/>
      <c r="V491" s="7"/>
      <c r="W491" s="7"/>
      <c r="X491" s="7"/>
      <c r="Y491" s="7"/>
      <c r="Z491" s="15"/>
      <c r="AA491" s="15"/>
      <c r="AB491" s="11" t="str">
        <f t="shared" si="63"/>
        <v/>
      </c>
      <c r="AC491" s="11"/>
      <c r="AD491" s="11"/>
      <c r="AE491" s="11"/>
      <c r="AF491" s="11"/>
      <c r="AG491" s="11"/>
      <c r="AH491" s="11"/>
      <c r="AI491" s="11"/>
      <c r="AJ491" s="15"/>
      <c r="AK491" s="15"/>
      <c r="AL491" s="14">
        <f t="shared" si="64"/>
        <v>3</v>
      </c>
      <c r="AM491" s="11">
        <f t="shared" si="65"/>
        <v>3</v>
      </c>
      <c r="AN491" s="14">
        <f t="shared" si="66"/>
        <v>3</v>
      </c>
      <c r="AO491" s="15"/>
      <c r="AP491" s="15"/>
      <c r="AQ491" s="15"/>
    </row>
    <row r="492" spans="1:43" ht="34" hidden="1" x14ac:dyDescent="0.2">
      <c r="A492" s="7">
        <v>491</v>
      </c>
      <c r="B492" s="19" t="s">
        <v>1041</v>
      </c>
      <c r="C492" s="19" t="s">
        <v>1042</v>
      </c>
      <c r="D492" s="8" t="s">
        <v>34</v>
      </c>
      <c r="E492" s="19" t="s">
        <v>269</v>
      </c>
      <c r="F492" s="8" t="s">
        <v>36</v>
      </c>
      <c r="G492" s="7" t="s">
        <v>59</v>
      </c>
      <c r="H492" s="9" t="s">
        <v>44</v>
      </c>
      <c r="I492" s="10"/>
      <c r="J492" s="10" t="s">
        <v>40</v>
      </c>
      <c r="K492" s="10" t="s">
        <v>40</v>
      </c>
      <c r="L492" s="10" t="s">
        <v>40</v>
      </c>
      <c r="M492">
        <v>0</v>
      </c>
      <c r="N492">
        <v>0</v>
      </c>
      <c r="O492">
        <v>0</v>
      </c>
      <c r="P492" s="10" t="s">
        <v>44</v>
      </c>
      <c r="Q492" s="10">
        <f t="array" ref="Q492">IFERROR(SUMPRODUCT((N492:P492&gt;0)*(N492:P492))/3, 0)</f>
        <v>0</v>
      </c>
      <c r="R492" s="10"/>
      <c r="S492" s="11" t="str">
        <f t="shared" si="62"/>
        <v/>
      </c>
      <c r="T492" s="7"/>
      <c r="U492" s="7"/>
      <c r="V492" s="7"/>
      <c r="W492" s="7"/>
      <c r="X492" s="7"/>
      <c r="Y492" s="7"/>
      <c r="Z492" s="15"/>
      <c r="AA492" s="15"/>
      <c r="AB492" s="11" t="str">
        <f t="shared" si="63"/>
        <v/>
      </c>
      <c r="AC492" s="11"/>
      <c r="AD492" s="11"/>
      <c r="AE492" s="11"/>
      <c r="AF492" s="11"/>
      <c r="AG492" s="11"/>
      <c r="AH492" s="11"/>
      <c r="AI492" s="11"/>
      <c r="AJ492" s="15"/>
      <c r="AK492" s="15"/>
      <c r="AL492" s="14">
        <f t="shared" si="64"/>
        <v>3</v>
      </c>
      <c r="AM492" s="11">
        <f t="shared" si="65"/>
        <v>3</v>
      </c>
      <c r="AN492" s="14">
        <f t="shared" si="66"/>
        <v>3</v>
      </c>
      <c r="AO492" s="15"/>
      <c r="AP492" s="15"/>
      <c r="AQ492" s="15"/>
    </row>
    <row r="493" spans="1:43" ht="34" hidden="1" x14ac:dyDescent="0.2">
      <c r="A493" s="7">
        <v>492</v>
      </c>
      <c r="B493" s="19" t="s">
        <v>1043</v>
      </c>
      <c r="C493" s="19" t="s">
        <v>1044</v>
      </c>
      <c r="D493" s="8" t="s">
        <v>34</v>
      </c>
      <c r="E493" s="19" t="s">
        <v>269</v>
      </c>
      <c r="F493" s="8" t="s">
        <v>36</v>
      </c>
      <c r="G493" s="7" t="s">
        <v>59</v>
      </c>
      <c r="H493" s="9" t="s">
        <v>44</v>
      </c>
      <c r="I493" s="10"/>
      <c r="J493" s="10" t="s">
        <v>40</v>
      </c>
      <c r="K493" s="10" t="s">
        <v>40</v>
      </c>
      <c r="L493" s="10" t="s">
        <v>40</v>
      </c>
      <c r="M493">
        <v>0</v>
      </c>
      <c r="N493">
        <v>0</v>
      </c>
      <c r="O493">
        <v>0</v>
      </c>
      <c r="P493" s="10" t="s">
        <v>44</v>
      </c>
      <c r="Q493" s="10">
        <f t="array" ref="Q493">IFERROR(SUMPRODUCT((N493:P493&gt;0)*(N493:P493))/3, 0)</f>
        <v>0</v>
      </c>
      <c r="R493" s="10"/>
      <c r="S493" s="11" t="str">
        <f t="shared" si="62"/>
        <v/>
      </c>
      <c r="T493" s="7"/>
      <c r="U493" s="7"/>
      <c r="V493" s="7"/>
      <c r="W493" s="7"/>
      <c r="X493" s="7"/>
      <c r="Y493" s="7"/>
      <c r="Z493" s="15"/>
      <c r="AA493" s="15"/>
      <c r="AB493" s="11" t="str">
        <f t="shared" si="63"/>
        <v/>
      </c>
      <c r="AC493" s="11"/>
      <c r="AD493" s="11"/>
      <c r="AE493" s="11"/>
      <c r="AF493" s="11"/>
      <c r="AG493" s="11"/>
      <c r="AH493" s="11"/>
      <c r="AI493" s="11"/>
      <c r="AJ493" s="15"/>
      <c r="AK493" s="15"/>
      <c r="AL493" s="14">
        <f t="shared" si="64"/>
        <v>3</v>
      </c>
      <c r="AM493" s="11">
        <f t="shared" si="65"/>
        <v>3</v>
      </c>
      <c r="AN493" s="14">
        <f t="shared" si="66"/>
        <v>3</v>
      </c>
      <c r="AO493" s="15"/>
      <c r="AP493" s="15"/>
      <c r="AQ493" s="15"/>
    </row>
    <row r="494" spans="1:43" ht="34" hidden="1" x14ac:dyDescent="0.2">
      <c r="A494" s="7">
        <v>493</v>
      </c>
      <c r="B494" s="19" t="s">
        <v>1045</v>
      </c>
      <c r="C494" s="19" t="s">
        <v>1046</v>
      </c>
      <c r="D494" s="8" t="s">
        <v>34</v>
      </c>
      <c r="E494" s="19" t="s">
        <v>269</v>
      </c>
      <c r="F494" s="8" t="s">
        <v>36</v>
      </c>
      <c r="G494" s="7" t="s">
        <v>59</v>
      </c>
      <c r="H494" s="9" t="s">
        <v>44</v>
      </c>
      <c r="I494" s="10"/>
      <c r="J494" s="10" t="s">
        <v>40</v>
      </c>
      <c r="K494" s="10" t="s">
        <v>40</v>
      </c>
      <c r="L494" s="10" t="s">
        <v>40</v>
      </c>
      <c r="M494">
        <v>0</v>
      </c>
      <c r="N494">
        <v>0</v>
      </c>
      <c r="O494">
        <v>0</v>
      </c>
      <c r="P494" s="10" t="s">
        <v>44</v>
      </c>
      <c r="Q494" s="10">
        <f t="array" ref="Q494">IFERROR(SUMPRODUCT((N494:P494&gt;0)*(N494:P494))/3, 0)</f>
        <v>0</v>
      </c>
      <c r="R494" s="10"/>
      <c r="S494" s="11" t="str">
        <f t="shared" si="62"/>
        <v/>
      </c>
      <c r="T494" s="7"/>
      <c r="U494" s="7"/>
      <c r="V494" s="7"/>
      <c r="W494" s="7"/>
      <c r="X494" s="7"/>
      <c r="Y494" s="7"/>
      <c r="Z494" s="15"/>
      <c r="AA494" s="15"/>
      <c r="AB494" s="11" t="str">
        <f t="shared" si="63"/>
        <v/>
      </c>
      <c r="AC494" s="11"/>
      <c r="AD494" s="11"/>
      <c r="AE494" s="11"/>
      <c r="AF494" s="11"/>
      <c r="AG494" s="11"/>
      <c r="AH494" s="11"/>
      <c r="AI494" s="11"/>
      <c r="AJ494" s="15"/>
      <c r="AK494" s="15"/>
      <c r="AL494" s="14">
        <f t="shared" si="64"/>
        <v>3</v>
      </c>
      <c r="AM494" s="11">
        <f t="shared" si="65"/>
        <v>3</v>
      </c>
      <c r="AN494" s="14">
        <f t="shared" si="66"/>
        <v>3</v>
      </c>
      <c r="AO494" s="15"/>
      <c r="AP494" s="15"/>
      <c r="AQ494" s="15"/>
    </row>
    <row r="495" spans="1:43" ht="34" hidden="1" x14ac:dyDescent="0.2">
      <c r="A495" s="7">
        <v>494</v>
      </c>
      <c r="B495" s="19" t="s">
        <v>1047</v>
      </c>
      <c r="C495" s="19" t="s">
        <v>1048</v>
      </c>
      <c r="D495" s="8" t="s">
        <v>34</v>
      </c>
      <c r="E495" s="19" t="s">
        <v>269</v>
      </c>
      <c r="F495" s="8" t="s">
        <v>36</v>
      </c>
      <c r="G495" s="7" t="s">
        <v>59</v>
      </c>
      <c r="H495" s="9" t="s">
        <v>44</v>
      </c>
      <c r="I495" s="10"/>
      <c r="J495" s="10" t="s">
        <v>40</v>
      </c>
      <c r="K495" s="10" t="s">
        <v>40</v>
      </c>
      <c r="L495" s="10" t="s">
        <v>40</v>
      </c>
      <c r="M495">
        <v>0</v>
      </c>
      <c r="N495">
        <v>0</v>
      </c>
      <c r="O495">
        <v>0</v>
      </c>
      <c r="P495" s="10" t="s">
        <v>44</v>
      </c>
      <c r="Q495" s="10">
        <f t="array" ref="Q495">IFERROR(SUMPRODUCT((N495:P495&gt;0)*(N495:P495))/3, 0)</f>
        <v>0</v>
      </c>
      <c r="R495" s="10"/>
      <c r="S495" s="11" t="str">
        <f t="shared" si="62"/>
        <v/>
      </c>
      <c r="T495" s="7"/>
      <c r="U495" s="7"/>
      <c r="V495" s="7"/>
      <c r="W495" s="7"/>
      <c r="X495" s="7"/>
      <c r="Y495" s="7"/>
      <c r="Z495" s="15"/>
      <c r="AA495" s="15"/>
      <c r="AB495" s="11" t="str">
        <f t="shared" si="63"/>
        <v/>
      </c>
      <c r="AC495" s="11"/>
      <c r="AD495" s="11"/>
      <c r="AE495" s="11"/>
      <c r="AF495" s="11"/>
      <c r="AG495" s="11"/>
      <c r="AH495" s="11"/>
      <c r="AI495" s="11"/>
      <c r="AJ495" s="15"/>
      <c r="AK495" s="15"/>
      <c r="AL495" s="14">
        <f t="shared" si="64"/>
        <v>3</v>
      </c>
      <c r="AM495" s="11">
        <f t="shared" si="65"/>
        <v>3</v>
      </c>
      <c r="AN495" s="14">
        <f t="shared" si="66"/>
        <v>3</v>
      </c>
      <c r="AO495" s="15"/>
      <c r="AP495" s="15"/>
      <c r="AQ495" s="15"/>
    </row>
    <row r="496" spans="1:43" ht="51" hidden="1" x14ac:dyDescent="0.2">
      <c r="A496" s="7">
        <v>495</v>
      </c>
      <c r="B496" s="19" t="s">
        <v>1049</v>
      </c>
      <c r="C496" s="19" t="s">
        <v>1050</v>
      </c>
      <c r="D496" s="8" t="s">
        <v>34</v>
      </c>
      <c r="E496" s="19" t="s">
        <v>269</v>
      </c>
      <c r="F496" s="8" t="s">
        <v>36</v>
      </c>
      <c r="G496" s="7" t="s">
        <v>59</v>
      </c>
      <c r="H496" s="9" t="s">
        <v>44</v>
      </c>
      <c r="I496" s="10"/>
      <c r="J496" s="10" t="s">
        <v>40</v>
      </c>
      <c r="K496" s="10" t="s">
        <v>40</v>
      </c>
      <c r="L496" s="10" t="s">
        <v>40</v>
      </c>
      <c r="M496">
        <v>0</v>
      </c>
      <c r="N496">
        <v>0</v>
      </c>
      <c r="O496">
        <v>0</v>
      </c>
      <c r="P496" s="10" t="s">
        <v>44</v>
      </c>
      <c r="Q496" s="10">
        <f t="array" ref="Q496">IFERROR(SUMPRODUCT((N496:P496&gt;0)*(N496:P496))/3, 0)</f>
        <v>0</v>
      </c>
      <c r="R496" s="10"/>
      <c r="S496" s="11" t="str">
        <f t="shared" si="62"/>
        <v/>
      </c>
      <c r="T496" s="7"/>
      <c r="U496" s="7"/>
      <c r="V496" s="7"/>
      <c r="W496" s="7"/>
      <c r="X496" s="7"/>
      <c r="Y496" s="7"/>
      <c r="Z496" s="15"/>
      <c r="AA496" s="15"/>
      <c r="AB496" s="11" t="str">
        <f t="shared" si="63"/>
        <v/>
      </c>
      <c r="AC496" s="11"/>
      <c r="AD496" s="11"/>
      <c r="AE496" s="11"/>
      <c r="AF496" s="11"/>
      <c r="AG496" s="11"/>
      <c r="AH496" s="11"/>
      <c r="AI496" s="11"/>
      <c r="AJ496" s="15"/>
      <c r="AK496" s="15"/>
      <c r="AL496" s="14">
        <f t="shared" si="64"/>
        <v>3</v>
      </c>
      <c r="AM496" s="11">
        <f t="shared" si="65"/>
        <v>3</v>
      </c>
      <c r="AN496" s="14">
        <f t="shared" si="66"/>
        <v>3</v>
      </c>
      <c r="AO496" s="15"/>
      <c r="AP496" s="15"/>
      <c r="AQ496" s="15"/>
    </row>
    <row r="497" spans="1:43" ht="51" hidden="1" x14ac:dyDescent="0.2">
      <c r="A497" s="7">
        <v>496</v>
      </c>
      <c r="B497" s="19" t="s">
        <v>1051</v>
      </c>
      <c r="C497" s="19" t="s">
        <v>1052</v>
      </c>
      <c r="D497" s="8" t="s">
        <v>34</v>
      </c>
      <c r="E497" s="19" t="s">
        <v>269</v>
      </c>
      <c r="F497" s="8" t="s">
        <v>36</v>
      </c>
      <c r="G497" s="7" t="s">
        <v>59</v>
      </c>
      <c r="H497" s="9" t="s">
        <v>44</v>
      </c>
      <c r="I497" s="10"/>
      <c r="J497" s="10" t="s">
        <v>40</v>
      </c>
      <c r="K497" s="10" t="s">
        <v>40</v>
      </c>
      <c r="L497" s="10" t="s">
        <v>40</v>
      </c>
      <c r="M497">
        <v>0</v>
      </c>
      <c r="N497">
        <v>0</v>
      </c>
      <c r="O497">
        <v>0</v>
      </c>
      <c r="P497" s="10" t="s">
        <v>44</v>
      </c>
      <c r="Q497" s="10">
        <f t="array" ref="Q497">IFERROR(SUMPRODUCT((N497:P497&gt;0)*(N497:P497))/3, 0)</f>
        <v>0</v>
      </c>
      <c r="R497" s="10"/>
      <c r="S497" s="11" t="str">
        <f t="shared" si="62"/>
        <v/>
      </c>
      <c r="T497" s="7"/>
      <c r="U497" s="7"/>
      <c r="V497" s="7"/>
      <c r="W497" s="7"/>
      <c r="X497" s="7"/>
      <c r="Y497" s="7"/>
      <c r="Z497" s="15"/>
      <c r="AA497" s="15"/>
      <c r="AB497" s="11" t="str">
        <f t="shared" si="63"/>
        <v/>
      </c>
      <c r="AC497" s="11"/>
      <c r="AD497" s="11"/>
      <c r="AE497" s="11"/>
      <c r="AF497" s="11"/>
      <c r="AG497" s="11"/>
      <c r="AH497" s="11"/>
      <c r="AI497" s="11"/>
      <c r="AJ497" s="15"/>
      <c r="AK497" s="15"/>
      <c r="AL497" s="14">
        <f t="shared" si="64"/>
        <v>3</v>
      </c>
      <c r="AM497" s="11">
        <f t="shared" si="65"/>
        <v>3</v>
      </c>
      <c r="AN497" s="14">
        <f t="shared" si="66"/>
        <v>3</v>
      </c>
      <c r="AO497" s="15"/>
      <c r="AP497" s="15"/>
      <c r="AQ497" s="15"/>
    </row>
    <row r="498" spans="1:43" ht="51" hidden="1" x14ac:dyDescent="0.2">
      <c r="A498" s="7">
        <v>497</v>
      </c>
      <c r="B498" s="19" t="s">
        <v>1053</v>
      </c>
      <c r="C498" s="19" t="s">
        <v>1054</v>
      </c>
      <c r="D498" s="8" t="s">
        <v>34</v>
      </c>
      <c r="E498" s="19" t="s">
        <v>269</v>
      </c>
      <c r="F498" s="8" t="s">
        <v>36</v>
      </c>
      <c r="G498" s="7" t="s">
        <v>59</v>
      </c>
      <c r="H498" s="9" t="s">
        <v>44</v>
      </c>
      <c r="I498" s="10"/>
      <c r="J498" s="10" t="s">
        <v>40</v>
      </c>
      <c r="K498" s="10" t="s">
        <v>40</v>
      </c>
      <c r="L498" s="10" t="s">
        <v>40</v>
      </c>
      <c r="M498">
        <v>0</v>
      </c>
      <c r="N498">
        <v>0</v>
      </c>
      <c r="O498">
        <v>0</v>
      </c>
      <c r="P498" s="10" t="s">
        <v>44</v>
      </c>
      <c r="Q498" s="10">
        <f t="array" ref="Q498">IFERROR(SUMPRODUCT((N498:P498&gt;0)*(N498:P498))/3, 0)</f>
        <v>0</v>
      </c>
      <c r="R498" s="10"/>
      <c r="S498" s="11" t="str">
        <f t="shared" si="62"/>
        <v/>
      </c>
      <c r="T498" s="7"/>
      <c r="U498" s="7"/>
      <c r="V498" s="7"/>
      <c r="W498" s="7"/>
      <c r="X498" s="7"/>
      <c r="Y498" s="7"/>
      <c r="Z498" s="15"/>
      <c r="AA498" s="15"/>
      <c r="AB498" s="11" t="str">
        <f t="shared" si="63"/>
        <v/>
      </c>
      <c r="AC498" s="11"/>
      <c r="AD498" s="11"/>
      <c r="AE498" s="11"/>
      <c r="AF498" s="11"/>
      <c r="AG498" s="11"/>
      <c r="AH498" s="11"/>
      <c r="AI498" s="11"/>
      <c r="AJ498" s="15"/>
      <c r="AK498" s="15"/>
      <c r="AL498" s="14">
        <f t="shared" si="64"/>
        <v>3</v>
      </c>
      <c r="AM498" s="11">
        <f t="shared" si="65"/>
        <v>3</v>
      </c>
      <c r="AN498" s="14">
        <f t="shared" si="66"/>
        <v>3</v>
      </c>
      <c r="AO498" s="15"/>
      <c r="AP498" s="15"/>
      <c r="AQ498" s="15"/>
    </row>
    <row r="499" spans="1:43" ht="34" hidden="1" x14ac:dyDescent="0.2">
      <c r="A499" s="7">
        <v>498</v>
      </c>
      <c r="B499" s="19" t="s">
        <v>1055</v>
      </c>
      <c r="C499" s="19" t="s">
        <v>1056</v>
      </c>
      <c r="D499" s="8" t="s">
        <v>34</v>
      </c>
      <c r="E499" s="19" t="s">
        <v>269</v>
      </c>
      <c r="F499" s="8" t="s">
        <v>36</v>
      </c>
      <c r="G499" s="7" t="s">
        <v>59</v>
      </c>
      <c r="H499" s="9" t="s">
        <v>44</v>
      </c>
      <c r="I499" s="10"/>
      <c r="J499" s="10" t="s">
        <v>40</v>
      </c>
      <c r="K499" s="10" t="s">
        <v>40</v>
      </c>
      <c r="L499" s="10" t="s">
        <v>40</v>
      </c>
      <c r="M499">
        <v>0</v>
      </c>
      <c r="N499">
        <v>0</v>
      </c>
      <c r="O499">
        <v>0</v>
      </c>
      <c r="P499" s="10" t="s">
        <v>44</v>
      </c>
      <c r="Q499" s="10">
        <f t="array" ref="Q499">IFERROR(SUMPRODUCT((N499:P499&gt;0)*(N499:P499))/3, 0)</f>
        <v>0</v>
      </c>
      <c r="R499" s="10"/>
      <c r="S499" s="11" t="str">
        <f t="shared" si="62"/>
        <v/>
      </c>
      <c r="T499" s="7"/>
      <c r="U499" s="7"/>
      <c r="V499" s="7"/>
      <c r="W499" s="7"/>
      <c r="X499" s="7"/>
      <c r="Y499" s="7"/>
      <c r="Z499" s="15"/>
      <c r="AA499" s="15"/>
      <c r="AB499" s="11" t="str">
        <f t="shared" si="63"/>
        <v/>
      </c>
      <c r="AC499" s="11"/>
      <c r="AD499" s="11"/>
      <c r="AE499" s="11"/>
      <c r="AF499" s="11"/>
      <c r="AG499" s="11"/>
      <c r="AH499" s="11"/>
      <c r="AI499" s="11"/>
      <c r="AJ499" s="15"/>
      <c r="AK499" s="15"/>
      <c r="AL499" s="14">
        <f t="shared" si="64"/>
        <v>3</v>
      </c>
      <c r="AM499" s="11">
        <f t="shared" si="65"/>
        <v>3</v>
      </c>
      <c r="AN499" s="14">
        <f t="shared" si="66"/>
        <v>3</v>
      </c>
      <c r="AO499" s="15"/>
      <c r="AP499" s="15"/>
      <c r="AQ499" s="15"/>
    </row>
    <row r="500" spans="1:43" ht="34" hidden="1" x14ac:dyDescent="0.2">
      <c r="A500" s="7">
        <v>499</v>
      </c>
      <c r="B500" s="19" t="s">
        <v>1057</v>
      </c>
      <c r="C500" s="19" t="s">
        <v>1058</v>
      </c>
      <c r="D500" s="8" t="s">
        <v>34</v>
      </c>
      <c r="E500" s="19" t="s">
        <v>269</v>
      </c>
      <c r="F500" s="8" t="s">
        <v>36</v>
      </c>
      <c r="G500" s="7" t="s">
        <v>59</v>
      </c>
      <c r="H500" s="9" t="s">
        <v>44</v>
      </c>
      <c r="I500" s="10"/>
      <c r="J500" s="10" t="s">
        <v>40</v>
      </c>
      <c r="K500" s="10" t="s">
        <v>40</v>
      </c>
      <c r="L500" s="10" t="s">
        <v>40</v>
      </c>
      <c r="M500">
        <v>0</v>
      </c>
      <c r="N500">
        <v>0</v>
      </c>
      <c r="O500">
        <v>0</v>
      </c>
      <c r="P500" s="10" t="s">
        <v>44</v>
      </c>
      <c r="Q500" s="10">
        <f t="array" ref="Q500">IFERROR(SUMPRODUCT((N500:P500&gt;0)*(N500:P500))/3, 0)</f>
        <v>0</v>
      </c>
      <c r="R500" s="10"/>
      <c r="S500" s="11" t="str">
        <f t="shared" si="62"/>
        <v/>
      </c>
      <c r="T500" s="7"/>
      <c r="U500" s="7"/>
      <c r="V500" s="7"/>
      <c r="W500" s="7"/>
      <c r="X500" s="7"/>
      <c r="Y500" s="7"/>
      <c r="Z500" s="15"/>
      <c r="AA500" s="15"/>
      <c r="AB500" s="11" t="str">
        <f t="shared" si="63"/>
        <v/>
      </c>
      <c r="AC500" s="11"/>
      <c r="AD500" s="11"/>
      <c r="AE500" s="11"/>
      <c r="AF500" s="11"/>
      <c r="AG500" s="11"/>
      <c r="AH500" s="11"/>
      <c r="AI500" s="11"/>
      <c r="AJ500" s="15"/>
      <c r="AK500" s="15"/>
      <c r="AL500" s="14">
        <f t="shared" si="64"/>
        <v>3</v>
      </c>
      <c r="AM500" s="11">
        <f t="shared" si="65"/>
        <v>3</v>
      </c>
      <c r="AN500" s="14">
        <f t="shared" si="66"/>
        <v>3</v>
      </c>
      <c r="AO500" s="15"/>
      <c r="AP500" s="15"/>
      <c r="AQ500" s="15"/>
    </row>
    <row r="501" spans="1:43" ht="34" hidden="1" x14ac:dyDescent="0.2">
      <c r="A501" s="7">
        <v>500</v>
      </c>
      <c r="B501" s="19" t="s">
        <v>1059</v>
      </c>
      <c r="C501" s="19" t="s">
        <v>1060</v>
      </c>
      <c r="D501" s="8" t="s">
        <v>34</v>
      </c>
      <c r="E501" s="19" t="s">
        <v>269</v>
      </c>
      <c r="F501" s="8" t="s">
        <v>36</v>
      </c>
      <c r="G501" s="7" t="s">
        <v>59</v>
      </c>
      <c r="H501" s="9" t="s">
        <v>44</v>
      </c>
      <c r="I501" s="10"/>
      <c r="J501" s="10" t="s">
        <v>40</v>
      </c>
      <c r="K501" s="10" t="s">
        <v>40</v>
      </c>
      <c r="L501" s="10" t="s">
        <v>40</v>
      </c>
      <c r="M501">
        <v>0</v>
      </c>
      <c r="N501">
        <v>0</v>
      </c>
      <c r="O501">
        <v>0</v>
      </c>
      <c r="P501" s="10" t="s">
        <v>44</v>
      </c>
      <c r="Q501" s="10">
        <f t="array" ref="Q501">IFERROR(SUMPRODUCT((N501:P501&gt;0)*(N501:P501))/3, 0)</f>
        <v>0</v>
      </c>
      <c r="R501" s="10"/>
      <c r="S501" s="11" t="str">
        <f t="shared" si="62"/>
        <v/>
      </c>
      <c r="T501" s="7"/>
      <c r="U501" s="7"/>
      <c r="V501" s="7"/>
      <c r="W501" s="7"/>
      <c r="X501" s="7"/>
      <c r="Y501" s="7"/>
      <c r="Z501" s="15"/>
      <c r="AA501" s="15"/>
      <c r="AB501" s="11" t="str">
        <f t="shared" si="63"/>
        <v/>
      </c>
      <c r="AC501" s="11"/>
      <c r="AD501" s="11"/>
      <c r="AE501" s="11"/>
      <c r="AF501" s="11"/>
      <c r="AG501" s="11"/>
      <c r="AH501" s="11"/>
      <c r="AI501" s="11"/>
      <c r="AJ501" s="15"/>
      <c r="AK501" s="15"/>
      <c r="AL501" s="14">
        <f t="shared" si="64"/>
        <v>3</v>
      </c>
      <c r="AM501" s="11">
        <f t="shared" si="65"/>
        <v>3</v>
      </c>
      <c r="AN501" s="14">
        <f t="shared" si="66"/>
        <v>3</v>
      </c>
      <c r="AO501" s="15"/>
      <c r="AP501" s="15"/>
      <c r="AQ501" s="15"/>
    </row>
    <row r="502" spans="1:43" ht="34" hidden="1" x14ac:dyDescent="0.2">
      <c r="A502" s="7">
        <v>501</v>
      </c>
      <c r="B502" s="19" t="s">
        <v>1061</v>
      </c>
      <c r="C502" s="19" t="s">
        <v>1062</v>
      </c>
      <c r="D502" s="8" t="s">
        <v>34</v>
      </c>
      <c r="E502" s="19" t="s">
        <v>269</v>
      </c>
      <c r="F502" s="8" t="s">
        <v>36</v>
      </c>
      <c r="G502" s="7" t="s">
        <v>59</v>
      </c>
      <c r="H502" s="9" t="s">
        <v>44</v>
      </c>
      <c r="I502" s="10"/>
      <c r="J502" s="10" t="s">
        <v>40</v>
      </c>
      <c r="K502" s="10" t="s">
        <v>40</v>
      </c>
      <c r="L502" s="10" t="s">
        <v>40</v>
      </c>
      <c r="M502">
        <v>0</v>
      </c>
      <c r="N502">
        <v>0</v>
      </c>
      <c r="O502">
        <v>0</v>
      </c>
      <c r="P502" s="10" t="s">
        <v>44</v>
      </c>
      <c r="Q502" s="10">
        <f t="array" ref="Q502">IFERROR(SUMPRODUCT((N502:P502&gt;0)*(N502:P502))/3, 0)</f>
        <v>0</v>
      </c>
      <c r="R502" s="10"/>
      <c r="S502" s="11" t="str">
        <f t="shared" si="62"/>
        <v/>
      </c>
      <c r="T502" s="7"/>
      <c r="U502" s="7"/>
      <c r="V502" s="7"/>
      <c r="W502" s="7"/>
      <c r="X502" s="7"/>
      <c r="Y502" s="7"/>
      <c r="Z502" s="15"/>
      <c r="AA502" s="15"/>
      <c r="AB502" s="11" t="str">
        <f t="shared" si="63"/>
        <v/>
      </c>
      <c r="AC502" s="11"/>
      <c r="AD502" s="11"/>
      <c r="AE502" s="11"/>
      <c r="AF502" s="11"/>
      <c r="AG502" s="11"/>
      <c r="AH502" s="11"/>
      <c r="AI502" s="11"/>
      <c r="AJ502" s="15"/>
      <c r="AK502" s="15"/>
      <c r="AL502" s="14">
        <f t="shared" si="64"/>
        <v>3</v>
      </c>
      <c r="AM502" s="11">
        <f t="shared" si="65"/>
        <v>3</v>
      </c>
      <c r="AN502" s="14">
        <f t="shared" si="66"/>
        <v>3</v>
      </c>
      <c r="AO502" s="15"/>
      <c r="AP502" s="15"/>
      <c r="AQ502" s="15"/>
    </row>
    <row r="503" spans="1:43" ht="34" hidden="1" x14ac:dyDescent="0.2">
      <c r="A503" s="7">
        <v>502</v>
      </c>
      <c r="B503" s="19" t="s">
        <v>1063</v>
      </c>
      <c r="C503" s="19" t="s">
        <v>1064</v>
      </c>
      <c r="D503" s="8" t="s">
        <v>34</v>
      </c>
      <c r="E503" s="19" t="s">
        <v>269</v>
      </c>
      <c r="F503" s="8" t="s">
        <v>36</v>
      </c>
      <c r="G503" s="7" t="s">
        <v>59</v>
      </c>
      <c r="H503" s="9" t="s">
        <v>44</v>
      </c>
      <c r="I503" s="10"/>
      <c r="J503" s="10" t="s">
        <v>40</v>
      </c>
      <c r="K503" s="10" t="s">
        <v>40</v>
      </c>
      <c r="L503" s="10" t="s">
        <v>40</v>
      </c>
      <c r="M503">
        <v>0</v>
      </c>
      <c r="N503">
        <v>0</v>
      </c>
      <c r="O503">
        <v>0</v>
      </c>
      <c r="P503" s="10" t="s">
        <v>44</v>
      </c>
      <c r="Q503" s="10">
        <f t="array" ref="Q503">IFERROR(SUMPRODUCT((N503:P503&gt;0)*(N503:P503))/3, 0)</f>
        <v>0</v>
      </c>
      <c r="R503" s="10"/>
      <c r="S503" s="11" t="str">
        <f t="shared" si="62"/>
        <v/>
      </c>
      <c r="T503" s="7"/>
      <c r="U503" s="7"/>
      <c r="V503" s="7"/>
      <c r="W503" s="7"/>
      <c r="X503" s="7"/>
      <c r="Y503" s="7"/>
      <c r="Z503" s="15"/>
      <c r="AA503" s="15"/>
      <c r="AB503" s="11" t="str">
        <f t="shared" si="63"/>
        <v/>
      </c>
      <c r="AC503" s="11"/>
      <c r="AD503" s="11"/>
      <c r="AE503" s="11"/>
      <c r="AF503" s="11"/>
      <c r="AG503" s="11"/>
      <c r="AH503" s="11"/>
      <c r="AI503" s="11"/>
      <c r="AJ503" s="15"/>
      <c r="AK503" s="15"/>
      <c r="AL503" s="14">
        <f t="shared" si="64"/>
        <v>3</v>
      </c>
      <c r="AM503" s="11">
        <f t="shared" si="65"/>
        <v>3</v>
      </c>
      <c r="AN503" s="14">
        <f t="shared" si="66"/>
        <v>3</v>
      </c>
      <c r="AO503" s="15"/>
      <c r="AP503" s="15"/>
      <c r="AQ503" s="15"/>
    </row>
    <row r="504" spans="1:43" ht="34" hidden="1" x14ac:dyDescent="0.2">
      <c r="A504" s="7">
        <v>503</v>
      </c>
      <c r="B504" s="19" t="s">
        <v>1065</v>
      </c>
      <c r="C504" s="19" t="s">
        <v>1066</v>
      </c>
      <c r="D504" s="8" t="s">
        <v>34</v>
      </c>
      <c r="E504" s="19" t="s">
        <v>269</v>
      </c>
      <c r="F504" s="8" t="s">
        <v>36</v>
      </c>
      <c r="G504" s="7" t="s">
        <v>59</v>
      </c>
      <c r="H504" s="9" t="s">
        <v>44</v>
      </c>
      <c r="I504" s="10"/>
      <c r="J504" s="10" t="s">
        <v>40</v>
      </c>
      <c r="K504" s="10" t="s">
        <v>40</v>
      </c>
      <c r="L504" s="10" t="s">
        <v>40</v>
      </c>
      <c r="M504">
        <v>0</v>
      </c>
      <c r="N504">
        <v>0</v>
      </c>
      <c r="O504">
        <v>0</v>
      </c>
      <c r="P504" s="10" t="s">
        <v>44</v>
      </c>
      <c r="Q504" s="10">
        <f t="array" ref="Q504">IFERROR(SUMPRODUCT((N504:P504&gt;0)*(N504:P504))/3, 0)</f>
        <v>0</v>
      </c>
      <c r="R504" s="10"/>
      <c r="S504" s="11" t="str">
        <f t="shared" si="62"/>
        <v/>
      </c>
      <c r="T504" s="7"/>
      <c r="U504" s="7"/>
      <c r="V504" s="7"/>
      <c r="W504" s="7"/>
      <c r="X504" s="7"/>
      <c r="Y504" s="7"/>
      <c r="Z504" s="15"/>
      <c r="AA504" s="15"/>
      <c r="AB504" s="11" t="str">
        <f t="shared" si="63"/>
        <v/>
      </c>
      <c r="AC504" s="11"/>
      <c r="AD504" s="11"/>
      <c r="AE504" s="11"/>
      <c r="AF504" s="11"/>
      <c r="AG504" s="11"/>
      <c r="AH504" s="11"/>
      <c r="AI504" s="11"/>
      <c r="AJ504" s="15"/>
      <c r="AK504" s="15"/>
      <c r="AL504" s="14">
        <f t="shared" si="64"/>
        <v>3</v>
      </c>
      <c r="AM504" s="11">
        <f t="shared" si="65"/>
        <v>3</v>
      </c>
      <c r="AN504" s="14">
        <f t="shared" si="66"/>
        <v>3</v>
      </c>
      <c r="AO504" s="15"/>
      <c r="AP504" s="15"/>
      <c r="AQ504" s="15"/>
    </row>
    <row r="505" spans="1:43" ht="51" hidden="1" x14ac:dyDescent="0.2">
      <c r="A505" s="7">
        <v>504</v>
      </c>
      <c r="B505" s="19" t="s">
        <v>1067</v>
      </c>
      <c r="C505" s="19" t="s">
        <v>1068</v>
      </c>
      <c r="D505" s="8" t="s">
        <v>34</v>
      </c>
      <c r="E505" s="19" t="s">
        <v>269</v>
      </c>
      <c r="F505" s="8" t="s">
        <v>36</v>
      </c>
      <c r="G505" s="7" t="s">
        <v>59</v>
      </c>
      <c r="H505" s="9" t="s">
        <v>44</v>
      </c>
      <c r="I505" s="10"/>
      <c r="J505" s="10" t="s">
        <v>40</v>
      </c>
      <c r="K505" s="10" t="s">
        <v>40</v>
      </c>
      <c r="L505" s="10" t="s">
        <v>40</v>
      </c>
      <c r="M505">
        <v>0</v>
      </c>
      <c r="N505">
        <v>0</v>
      </c>
      <c r="O505">
        <v>0</v>
      </c>
      <c r="P505" s="10" t="s">
        <v>44</v>
      </c>
      <c r="Q505" s="10">
        <f t="array" ref="Q505">IFERROR(SUMPRODUCT((N505:P505&gt;0)*(N505:P505))/3, 0)</f>
        <v>0</v>
      </c>
      <c r="R505" s="10"/>
      <c r="S505" s="11" t="str">
        <f t="shared" si="62"/>
        <v/>
      </c>
      <c r="T505" s="7"/>
      <c r="U505" s="7"/>
      <c r="V505" s="7"/>
      <c r="W505" s="7"/>
      <c r="X505" s="7"/>
      <c r="Y505" s="7"/>
      <c r="Z505" s="15"/>
      <c r="AA505" s="15"/>
      <c r="AB505" s="11" t="str">
        <f t="shared" si="63"/>
        <v/>
      </c>
      <c r="AC505" s="11"/>
      <c r="AD505" s="11"/>
      <c r="AE505" s="11"/>
      <c r="AF505" s="11"/>
      <c r="AG505" s="11"/>
      <c r="AH505" s="11"/>
      <c r="AI505" s="11"/>
      <c r="AJ505" s="15"/>
      <c r="AK505" s="15"/>
      <c r="AL505" s="14">
        <f t="shared" si="64"/>
        <v>3</v>
      </c>
      <c r="AM505" s="11">
        <f t="shared" si="65"/>
        <v>3</v>
      </c>
      <c r="AN505" s="14">
        <f t="shared" si="66"/>
        <v>3</v>
      </c>
      <c r="AO505" s="15"/>
      <c r="AP505" s="15"/>
      <c r="AQ505" s="15"/>
    </row>
    <row r="506" spans="1:43" ht="34" hidden="1" x14ac:dyDescent="0.2">
      <c r="A506" s="7">
        <v>505</v>
      </c>
      <c r="B506" s="19" t="s">
        <v>1069</v>
      </c>
      <c r="C506" s="19" t="s">
        <v>1070</v>
      </c>
      <c r="D506" s="8" t="s">
        <v>34</v>
      </c>
      <c r="E506" s="19" t="s">
        <v>269</v>
      </c>
      <c r="F506" s="8" t="s">
        <v>36</v>
      </c>
      <c r="G506" s="7" t="s">
        <v>59</v>
      </c>
      <c r="H506" s="9" t="s">
        <v>44</v>
      </c>
      <c r="I506" s="10"/>
      <c r="J506" s="10" t="s">
        <v>40</v>
      </c>
      <c r="K506" s="10" t="s">
        <v>40</v>
      </c>
      <c r="L506" s="10" t="s">
        <v>40</v>
      </c>
      <c r="M506">
        <v>0</v>
      </c>
      <c r="N506">
        <v>0</v>
      </c>
      <c r="O506">
        <v>0</v>
      </c>
      <c r="P506" s="10" t="s">
        <v>44</v>
      </c>
      <c r="Q506" s="10">
        <f t="array" ref="Q506">IFERROR(SUMPRODUCT((N506:P506&gt;0)*(N506:P506))/3, 0)</f>
        <v>0</v>
      </c>
      <c r="R506" s="10"/>
      <c r="S506" s="11" t="str">
        <f t="shared" si="62"/>
        <v/>
      </c>
      <c r="T506" s="7"/>
      <c r="U506" s="7"/>
      <c r="V506" s="7"/>
      <c r="W506" s="7"/>
      <c r="X506" s="7"/>
      <c r="Y506" s="7"/>
      <c r="Z506" s="15"/>
      <c r="AA506" s="15"/>
      <c r="AB506" s="11" t="str">
        <f t="shared" si="63"/>
        <v/>
      </c>
      <c r="AC506" s="11"/>
      <c r="AD506" s="11"/>
      <c r="AE506" s="11"/>
      <c r="AF506" s="11"/>
      <c r="AG506" s="11"/>
      <c r="AH506" s="11"/>
      <c r="AI506" s="11"/>
      <c r="AJ506" s="15"/>
      <c r="AK506" s="15"/>
      <c r="AL506" s="14">
        <f t="shared" si="64"/>
        <v>3</v>
      </c>
      <c r="AM506" s="11">
        <f t="shared" si="65"/>
        <v>3</v>
      </c>
      <c r="AN506" s="14">
        <f t="shared" si="66"/>
        <v>3</v>
      </c>
      <c r="AO506" s="15"/>
      <c r="AP506" s="15"/>
      <c r="AQ506" s="15"/>
    </row>
    <row r="507" spans="1:43" ht="51" hidden="1" x14ac:dyDescent="0.2">
      <c r="A507" s="7">
        <v>506</v>
      </c>
      <c r="B507" s="19" t="s">
        <v>1071</v>
      </c>
      <c r="C507" s="19" t="s">
        <v>1072</v>
      </c>
      <c r="D507" s="8" t="s">
        <v>34</v>
      </c>
      <c r="E507" s="19" t="s">
        <v>269</v>
      </c>
      <c r="F507" s="8" t="s">
        <v>36</v>
      </c>
      <c r="G507" s="7" t="s">
        <v>59</v>
      </c>
      <c r="H507" s="9" t="s">
        <v>44</v>
      </c>
      <c r="I507" s="10"/>
      <c r="J507" s="10" t="s">
        <v>40</v>
      </c>
      <c r="K507" s="10" t="s">
        <v>40</v>
      </c>
      <c r="L507" s="10" t="s">
        <v>40</v>
      </c>
      <c r="M507">
        <v>0</v>
      </c>
      <c r="N507">
        <v>0</v>
      </c>
      <c r="O507">
        <v>0</v>
      </c>
      <c r="P507" s="10" t="s">
        <v>44</v>
      </c>
      <c r="Q507" s="10">
        <f t="array" ref="Q507">IFERROR(SUMPRODUCT((N507:P507&gt;0)*(N507:P507))/3, 0)</f>
        <v>0</v>
      </c>
      <c r="R507" s="10"/>
      <c r="S507" s="11" t="str">
        <f t="shared" si="62"/>
        <v/>
      </c>
      <c r="T507" s="7"/>
      <c r="U507" s="7"/>
      <c r="V507" s="7"/>
      <c r="W507" s="7"/>
      <c r="X507" s="7"/>
      <c r="Y507" s="7"/>
      <c r="Z507" s="15"/>
      <c r="AA507" s="15"/>
      <c r="AB507" s="11" t="str">
        <f t="shared" si="63"/>
        <v/>
      </c>
      <c r="AC507" s="11"/>
      <c r="AD507" s="11"/>
      <c r="AE507" s="11"/>
      <c r="AF507" s="11"/>
      <c r="AG507" s="11"/>
      <c r="AH507" s="11"/>
      <c r="AI507" s="11"/>
      <c r="AJ507" s="15"/>
      <c r="AK507" s="15"/>
      <c r="AL507" s="14">
        <f t="shared" si="64"/>
        <v>3</v>
      </c>
      <c r="AM507" s="11">
        <f t="shared" si="65"/>
        <v>3</v>
      </c>
      <c r="AN507" s="14">
        <f t="shared" si="66"/>
        <v>3</v>
      </c>
      <c r="AO507" s="15"/>
      <c r="AP507" s="15"/>
      <c r="AQ507" s="15"/>
    </row>
    <row r="508" spans="1:43" ht="51" hidden="1" x14ac:dyDescent="0.2">
      <c r="A508" s="7">
        <v>507</v>
      </c>
      <c r="B508" s="19" t="s">
        <v>1073</v>
      </c>
      <c r="C508" s="19" t="s">
        <v>1074</v>
      </c>
      <c r="D508" s="8" t="s">
        <v>34</v>
      </c>
      <c r="E508" s="19" t="s">
        <v>269</v>
      </c>
      <c r="F508" s="8" t="s">
        <v>36</v>
      </c>
      <c r="G508" s="7" t="s">
        <v>59</v>
      </c>
      <c r="H508" s="9" t="s">
        <v>44</v>
      </c>
      <c r="I508" s="10"/>
      <c r="J508" s="10" t="s">
        <v>40</v>
      </c>
      <c r="K508" s="10" t="s">
        <v>40</v>
      </c>
      <c r="L508" s="10" t="s">
        <v>40</v>
      </c>
      <c r="M508">
        <v>0</v>
      </c>
      <c r="N508">
        <v>0</v>
      </c>
      <c r="O508">
        <v>0</v>
      </c>
      <c r="P508" s="10" t="s">
        <v>44</v>
      </c>
      <c r="Q508" s="10">
        <f t="array" ref="Q508">IFERROR(SUMPRODUCT((N508:P508&gt;0)*(N508:P508))/3, 0)</f>
        <v>0</v>
      </c>
      <c r="R508" s="10"/>
      <c r="S508" s="11" t="str">
        <f t="shared" si="62"/>
        <v/>
      </c>
      <c r="T508" s="7"/>
      <c r="U508" s="7"/>
      <c r="V508" s="7"/>
      <c r="W508" s="7"/>
      <c r="X508" s="7"/>
      <c r="Y508" s="7"/>
      <c r="Z508" s="15"/>
      <c r="AA508" s="15"/>
      <c r="AB508" s="11" t="str">
        <f t="shared" si="63"/>
        <v/>
      </c>
      <c r="AC508" s="11"/>
      <c r="AD508" s="11"/>
      <c r="AE508" s="11"/>
      <c r="AF508" s="11"/>
      <c r="AG508" s="11"/>
      <c r="AH508" s="11"/>
      <c r="AI508" s="11"/>
      <c r="AJ508" s="15"/>
      <c r="AK508" s="15"/>
      <c r="AL508" s="14">
        <f t="shared" si="64"/>
        <v>3</v>
      </c>
      <c r="AM508" s="11">
        <f t="shared" si="65"/>
        <v>3</v>
      </c>
      <c r="AN508" s="14">
        <f t="shared" si="66"/>
        <v>3</v>
      </c>
      <c r="AO508" s="15"/>
      <c r="AP508" s="15"/>
      <c r="AQ508" s="15"/>
    </row>
    <row r="509" spans="1:43" ht="34" hidden="1" x14ac:dyDescent="0.2">
      <c r="A509" s="7">
        <v>508</v>
      </c>
      <c r="B509" s="19" t="s">
        <v>1075</v>
      </c>
      <c r="C509" s="19" t="s">
        <v>1076</v>
      </c>
      <c r="D509" s="8" t="s">
        <v>34</v>
      </c>
      <c r="E509" s="19" t="s">
        <v>269</v>
      </c>
      <c r="F509" s="8" t="s">
        <v>36</v>
      </c>
      <c r="G509" s="7" t="s">
        <v>59</v>
      </c>
      <c r="H509" s="9" t="s">
        <v>44</v>
      </c>
      <c r="I509" s="10"/>
      <c r="J509" s="10" t="s">
        <v>40</v>
      </c>
      <c r="K509" s="10" t="s">
        <v>40</v>
      </c>
      <c r="L509" s="10" t="s">
        <v>40</v>
      </c>
      <c r="M509">
        <v>0</v>
      </c>
      <c r="N509">
        <v>0</v>
      </c>
      <c r="O509">
        <v>0</v>
      </c>
      <c r="P509" s="10" t="s">
        <v>44</v>
      </c>
      <c r="Q509" s="10">
        <f t="array" ref="Q509">IFERROR(SUMPRODUCT((N509:P509&gt;0)*(N509:P509))/3, 0)</f>
        <v>0</v>
      </c>
      <c r="R509" s="10"/>
      <c r="S509" s="11" t="str">
        <f t="shared" si="62"/>
        <v/>
      </c>
      <c r="T509" s="7"/>
      <c r="U509" s="7"/>
      <c r="V509" s="7"/>
      <c r="W509" s="7"/>
      <c r="X509" s="7"/>
      <c r="Y509" s="7"/>
      <c r="Z509" s="15"/>
      <c r="AA509" s="15"/>
      <c r="AB509" s="11" t="str">
        <f t="shared" si="63"/>
        <v/>
      </c>
      <c r="AC509" s="11"/>
      <c r="AD509" s="11"/>
      <c r="AE509" s="11"/>
      <c r="AF509" s="11"/>
      <c r="AG509" s="11"/>
      <c r="AH509" s="11"/>
      <c r="AI509" s="11"/>
      <c r="AJ509" s="15"/>
      <c r="AK509" s="15"/>
      <c r="AL509" s="14">
        <f t="shared" si="64"/>
        <v>3</v>
      </c>
      <c r="AM509" s="11">
        <f t="shared" si="65"/>
        <v>3</v>
      </c>
      <c r="AN509" s="14">
        <f t="shared" si="66"/>
        <v>3</v>
      </c>
      <c r="AO509" s="15"/>
      <c r="AP509" s="15"/>
      <c r="AQ509" s="15"/>
    </row>
    <row r="510" spans="1:43" ht="51" hidden="1" x14ac:dyDescent="0.2">
      <c r="A510" s="7">
        <v>509</v>
      </c>
      <c r="B510" s="19" t="s">
        <v>1077</v>
      </c>
      <c r="C510" s="19" t="s">
        <v>1078</v>
      </c>
      <c r="D510" s="8" t="s">
        <v>34</v>
      </c>
      <c r="E510" s="19" t="s">
        <v>269</v>
      </c>
      <c r="F510" s="8" t="s">
        <v>36</v>
      </c>
      <c r="G510" s="7" t="s">
        <v>59</v>
      </c>
      <c r="H510" s="9" t="s">
        <v>44</v>
      </c>
      <c r="I510" s="10"/>
      <c r="J510" s="10" t="s">
        <v>40</v>
      </c>
      <c r="K510" s="10" t="s">
        <v>40</v>
      </c>
      <c r="L510" s="10" t="s">
        <v>40</v>
      </c>
      <c r="M510">
        <v>0</v>
      </c>
      <c r="N510">
        <v>0</v>
      </c>
      <c r="O510">
        <v>0</v>
      </c>
      <c r="P510" s="10" t="s">
        <v>44</v>
      </c>
      <c r="Q510" s="10">
        <f t="array" ref="Q510">IFERROR(SUMPRODUCT((N510:P510&gt;0)*(N510:P510))/3, 0)</f>
        <v>0</v>
      </c>
      <c r="R510" s="10"/>
      <c r="S510" s="11" t="str">
        <f t="shared" si="62"/>
        <v/>
      </c>
      <c r="T510" s="7"/>
      <c r="U510" s="7"/>
      <c r="V510" s="7"/>
      <c r="W510" s="7"/>
      <c r="X510" s="7"/>
      <c r="Y510" s="7"/>
      <c r="Z510" s="15"/>
      <c r="AA510" s="15"/>
      <c r="AB510" s="11" t="str">
        <f t="shared" si="63"/>
        <v/>
      </c>
      <c r="AC510" s="11"/>
      <c r="AD510" s="11"/>
      <c r="AE510" s="11"/>
      <c r="AF510" s="11"/>
      <c r="AG510" s="11"/>
      <c r="AH510" s="11"/>
      <c r="AI510" s="11"/>
      <c r="AJ510" s="15"/>
      <c r="AK510" s="15"/>
      <c r="AL510" s="14">
        <f t="shared" si="64"/>
        <v>3</v>
      </c>
      <c r="AM510" s="11">
        <f t="shared" si="65"/>
        <v>3</v>
      </c>
      <c r="AN510" s="14">
        <f t="shared" si="66"/>
        <v>3</v>
      </c>
      <c r="AO510" s="15"/>
      <c r="AP510" s="15"/>
      <c r="AQ510" s="15"/>
    </row>
    <row r="511" spans="1:43" ht="34" hidden="1" x14ac:dyDescent="0.2">
      <c r="A511" s="7">
        <v>510</v>
      </c>
      <c r="B511" s="19" t="s">
        <v>1079</v>
      </c>
      <c r="C511" s="19" t="s">
        <v>1080</v>
      </c>
      <c r="D511" s="8" t="s">
        <v>34</v>
      </c>
      <c r="E511" s="19" t="s">
        <v>269</v>
      </c>
      <c r="F511" s="8" t="s">
        <v>36</v>
      </c>
      <c r="G511" s="7" t="s">
        <v>59</v>
      </c>
      <c r="H511" s="9" t="s">
        <v>44</v>
      </c>
      <c r="I511" s="10"/>
      <c r="J511" s="10" t="s">
        <v>40</v>
      </c>
      <c r="K511" s="10" t="s">
        <v>40</v>
      </c>
      <c r="L511" s="10" t="s">
        <v>40</v>
      </c>
      <c r="M511">
        <v>0</v>
      </c>
      <c r="N511">
        <v>0</v>
      </c>
      <c r="O511">
        <v>0</v>
      </c>
      <c r="P511" s="10" t="s">
        <v>44</v>
      </c>
      <c r="Q511" s="10">
        <f t="array" ref="Q511">IFERROR(SUMPRODUCT((N511:P511&gt;0)*(N511:P511))/3, 0)</f>
        <v>0</v>
      </c>
      <c r="R511" s="10"/>
      <c r="S511" s="11" t="str">
        <f t="shared" si="62"/>
        <v/>
      </c>
      <c r="T511" s="7"/>
      <c r="U511" s="7"/>
      <c r="V511" s="7"/>
      <c r="W511" s="7"/>
      <c r="X511" s="7"/>
      <c r="Y511" s="7"/>
      <c r="Z511" s="15"/>
      <c r="AA511" s="15"/>
      <c r="AB511" s="11" t="str">
        <f t="shared" si="63"/>
        <v/>
      </c>
      <c r="AC511" s="11"/>
      <c r="AD511" s="11"/>
      <c r="AE511" s="11"/>
      <c r="AF511" s="11"/>
      <c r="AG511" s="11"/>
      <c r="AH511" s="11"/>
      <c r="AI511" s="11"/>
      <c r="AJ511" s="15"/>
      <c r="AK511" s="15"/>
      <c r="AL511" s="14">
        <f t="shared" si="64"/>
        <v>3</v>
      </c>
      <c r="AM511" s="11">
        <f t="shared" si="65"/>
        <v>3</v>
      </c>
      <c r="AN511" s="14">
        <f t="shared" si="66"/>
        <v>3</v>
      </c>
      <c r="AO511" s="15"/>
      <c r="AP511" s="15"/>
      <c r="AQ511" s="15"/>
    </row>
    <row r="512" spans="1:43" ht="68" hidden="1" x14ac:dyDescent="0.2">
      <c r="A512" s="7">
        <v>511</v>
      </c>
      <c r="B512" s="19" t="s">
        <v>1081</v>
      </c>
      <c r="C512" s="19" t="s">
        <v>1082</v>
      </c>
      <c r="D512" s="8" t="s">
        <v>34</v>
      </c>
      <c r="E512" s="19" t="s">
        <v>269</v>
      </c>
      <c r="F512" s="8" t="s">
        <v>36</v>
      </c>
      <c r="G512" s="7" t="s">
        <v>59</v>
      </c>
      <c r="H512" s="9" t="s">
        <v>44</v>
      </c>
      <c r="I512" s="10"/>
      <c r="J512" s="10" t="s">
        <v>40</v>
      </c>
      <c r="K512" s="10" t="s">
        <v>40</v>
      </c>
      <c r="L512" s="10" t="s">
        <v>40</v>
      </c>
      <c r="M512">
        <v>0</v>
      </c>
      <c r="N512">
        <v>0</v>
      </c>
      <c r="O512">
        <v>0</v>
      </c>
      <c r="P512" s="10" t="s">
        <v>44</v>
      </c>
      <c r="Q512" s="10">
        <f t="array" ref="Q512">IFERROR(SUMPRODUCT((N512:P512&gt;0)*(N512:P512))/3, 0)</f>
        <v>0</v>
      </c>
      <c r="R512" s="10"/>
      <c r="S512" s="11" t="str">
        <f t="shared" si="62"/>
        <v/>
      </c>
      <c r="T512" s="7"/>
      <c r="U512" s="7"/>
      <c r="V512" s="7"/>
      <c r="W512" s="7"/>
      <c r="X512" s="7"/>
      <c r="Y512" s="7"/>
      <c r="Z512" s="15"/>
      <c r="AA512" s="15"/>
      <c r="AB512" s="11" t="str">
        <f t="shared" si="63"/>
        <v/>
      </c>
      <c r="AC512" s="11"/>
      <c r="AD512" s="11"/>
      <c r="AE512" s="11"/>
      <c r="AF512" s="11"/>
      <c r="AG512" s="11"/>
      <c r="AH512" s="11"/>
      <c r="AI512" s="11"/>
      <c r="AJ512" s="15"/>
      <c r="AK512" s="15"/>
      <c r="AL512" s="14">
        <f t="shared" si="64"/>
        <v>3</v>
      </c>
      <c r="AM512" s="11">
        <f t="shared" si="65"/>
        <v>3</v>
      </c>
      <c r="AN512" s="14">
        <f t="shared" si="66"/>
        <v>3</v>
      </c>
      <c r="AO512" s="15"/>
      <c r="AP512" s="15"/>
      <c r="AQ512" s="15"/>
    </row>
    <row r="513" spans="1:43" ht="51" hidden="1" x14ac:dyDescent="0.2">
      <c r="A513" s="7">
        <v>512</v>
      </c>
      <c r="B513" s="19" t="s">
        <v>1083</v>
      </c>
      <c r="C513" s="19" t="s">
        <v>1084</v>
      </c>
      <c r="D513" s="8" t="s">
        <v>34</v>
      </c>
      <c r="E513" s="19" t="s">
        <v>269</v>
      </c>
      <c r="F513" s="8" t="s">
        <v>36</v>
      </c>
      <c r="G513" s="7" t="s">
        <v>59</v>
      </c>
      <c r="H513" s="9" t="s">
        <v>44</v>
      </c>
      <c r="I513" s="10"/>
      <c r="J513" s="10" t="s">
        <v>40</v>
      </c>
      <c r="K513" s="10" t="s">
        <v>40</v>
      </c>
      <c r="L513" s="10" t="s">
        <v>40</v>
      </c>
      <c r="M513">
        <v>0</v>
      </c>
      <c r="N513">
        <v>0</v>
      </c>
      <c r="O513">
        <v>0</v>
      </c>
      <c r="P513" s="10" t="s">
        <v>44</v>
      </c>
      <c r="Q513" s="10">
        <f t="array" ref="Q513">IFERROR(SUMPRODUCT((N513:P513&gt;0)*(N513:P513))/3, 0)</f>
        <v>0</v>
      </c>
      <c r="R513" s="10"/>
      <c r="S513" s="11" t="str">
        <f t="shared" si="62"/>
        <v/>
      </c>
      <c r="T513" s="7"/>
      <c r="U513" s="7"/>
      <c r="V513" s="7"/>
      <c r="W513" s="7"/>
      <c r="X513" s="7"/>
      <c r="Y513" s="7"/>
      <c r="Z513" s="15"/>
      <c r="AA513" s="15"/>
      <c r="AB513" s="11" t="str">
        <f t="shared" si="63"/>
        <v/>
      </c>
      <c r="AC513" s="11"/>
      <c r="AD513" s="11"/>
      <c r="AE513" s="11"/>
      <c r="AF513" s="11"/>
      <c r="AG513" s="11"/>
      <c r="AH513" s="11"/>
      <c r="AI513" s="11"/>
      <c r="AJ513" s="15"/>
      <c r="AK513" s="15"/>
      <c r="AL513" s="14">
        <f t="shared" si="64"/>
        <v>3</v>
      </c>
      <c r="AM513" s="11">
        <f t="shared" si="65"/>
        <v>3</v>
      </c>
      <c r="AN513" s="14">
        <f t="shared" si="66"/>
        <v>3</v>
      </c>
      <c r="AO513" s="15"/>
      <c r="AP513" s="15"/>
      <c r="AQ513" s="15"/>
    </row>
    <row r="514" spans="1:43" ht="51" hidden="1" x14ac:dyDescent="0.2">
      <c r="A514" s="7">
        <v>513</v>
      </c>
      <c r="B514" s="19" t="s">
        <v>1085</v>
      </c>
      <c r="C514" s="19" t="s">
        <v>1086</v>
      </c>
      <c r="D514" s="8" t="s">
        <v>34</v>
      </c>
      <c r="E514" s="19" t="s">
        <v>269</v>
      </c>
      <c r="F514" s="8" t="s">
        <v>36</v>
      </c>
      <c r="G514" s="7" t="s">
        <v>59</v>
      </c>
      <c r="H514" s="9" t="s">
        <v>44</v>
      </c>
      <c r="I514" s="10"/>
      <c r="J514" s="10" t="s">
        <v>40</v>
      </c>
      <c r="K514" s="10" t="s">
        <v>40</v>
      </c>
      <c r="L514" s="10" t="s">
        <v>40</v>
      </c>
      <c r="M514">
        <v>0</v>
      </c>
      <c r="N514">
        <v>0</v>
      </c>
      <c r="O514">
        <v>0</v>
      </c>
      <c r="P514" s="10" t="s">
        <v>44</v>
      </c>
      <c r="Q514" s="10">
        <f t="array" ref="Q514">IFERROR(SUMPRODUCT((N514:P514&gt;0)*(N514:P514))/3, 0)</f>
        <v>0</v>
      </c>
      <c r="R514" s="10"/>
      <c r="S514" s="11" t="str">
        <f t="shared" si="62"/>
        <v/>
      </c>
      <c r="T514" s="7"/>
      <c r="U514" s="7"/>
      <c r="V514" s="7"/>
      <c r="W514" s="7"/>
      <c r="X514" s="7"/>
      <c r="Y514" s="7"/>
      <c r="Z514" s="15"/>
      <c r="AA514" s="15"/>
      <c r="AB514" s="11" t="str">
        <f t="shared" si="63"/>
        <v/>
      </c>
      <c r="AC514" s="11"/>
      <c r="AD514" s="11"/>
      <c r="AE514" s="11"/>
      <c r="AF514" s="11"/>
      <c r="AG514" s="11"/>
      <c r="AH514" s="11"/>
      <c r="AI514" s="11"/>
      <c r="AJ514" s="15"/>
      <c r="AK514" s="15"/>
      <c r="AL514" s="14">
        <f t="shared" si="64"/>
        <v>3</v>
      </c>
      <c r="AM514" s="11">
        <f t="shared" si="65"/>
        <v>3</v>
      </c>
      <c r="AN514" s="14">
        <f t="shared" si="66"/>
        <v>3</v>
      </c>
      <c r="AO514" s="15"/>
      <c r="AP514" s="15"/>
      <c r="AQ514" s="15"/>
    </row>
    <row r="515" spans="1:43" ht="51" hidden="1" x14ac:dyDescent="0.2">
      <c r="A515" s="7">
        <v>514</v>
      </c>
      <c r="B515" s="19" t="s">
        <v>1087</v>
      </c>
      <c r="C515" s="19" t="s">
        <v>1088</v>
      </c>
      <c r="D515" s="8" t="s">
        <v>34</v>
      </c>
      <c r="E515" s="19" t="s">
        <v>269</v>
      </c>
      <c r="F515" s="8" t="s">
        <v>36</v>
      </c>
      <c r="G515" s="7" t="s">
        <v>59</v>
      </c>
      <c r="H515" s="9" t="s">
        <v>44</v>
      </c>
      <c r="I515" s="10"/>
      <c r="J515" s="10" t="s">
        <v>40</v>
      </c>
      <c r="K515" s="10" t="s">
        <v>40</v>
      </c>
      <c r="L515" s="10" t="s">
        <v>40</v>
      </c>
      <c r="M515">
        <v>0</v>
      </c>
      <c r="N515">
        <v>0</v>
      </c>
      <c r="O515">
        <v>0</v>
      </c>
      <c r="P515" s="10" t="s">
        <v>44</v>
      </c>
      <c r="Q515" s="10">
        <f t="array" ref="Q515">IFERROR(SUMPRODUCT((N515:P515&gt;0)*(N515:P515))/3, 0)</f>
        <v>0</v>
      </c>
      <c r="R515" s="10"/>
      <c r="S515" s="11" t="str">
        <f t="shared" ref="S515:S578" si="67">IF(Q515&gt;0,LOG10(Q515+1),"")</f>
        <v/>
      </c>
      <c r="T515" s="7"/>
      <c r="U515" s="7"/>
      <c r="V515" s="7"/>
      <c r="W515" s="7"/>
      <c r="X515" s="7"/>
      <c r="Y515" s="7"/>
      <c r="Z515" s="15"/>
      <c r="AA515" s="15"/>
      <c r="AB515" s="11" t="str">
        <f t="shared" ref="AB515:AB578" si="68">IF(AA515&gt;0,LOG10(AA515+1),"")</f>
        <v/>
      </c>
      <c r="AC515" s="11"/>
      <c r="AD515" s="11"/>
      <c r="AE515" s="11"/>
      <c r="AF515" s="11"/>
      <c r="AG515" s="11"/>
      <c r="AH515" s="11"/>
      <c r="AI515" s="11"/>
      <c r="AJ515" s="15"/>
      <c r="AK515" s="15"/>
      <c r="AL515" s="14">
        <f t="shared" ref="AL515:AL578" si="69">IF(W515&gt;=5,9,IF(W515 &gt;=3,7,IF(W515=0,3,5)))</f>
        <v>3</v>
      </c>
      <c r="AM515" s="11">
        <f t="shared" ref="AM515:AM578" si="70">IF(I515&lt;4,3,IF(I515&lt;6,5,IF(I515&lt;11,7,9)))</f>
        <v>3</v>
      </c>
      <c r="AN515" s="14">
        <f t="shared" ref="AN515:AN578" si="71">IF(AB515=0,"3",
 IF(AB515="",3,
 IF(AB515&lt;=_xlfn.PERCENTILE.INC($AB$2:$AB$105,0.25),3,
 IF(AB515&lt;=_xlfn.PERCENTILE.INC($AB$2:$AB$105,0.5),5,
 IF(AB515&lt;=_xlfn.PERCENTILE.INC($AB$2:$AB$105,0.75),7,
 9)))))</f>
        <v>3</v>
      </c>
      <c r="AO515" s="15"/>
      <c r="AP515" s="15"/>
      <c r="AQ515" s="15"/>
    </row>
    <row r="516" spans="1:43" ht="51" hidden="1" x14ac:dyDescent="0.2">
      <c r="A516" s="7">
        <v>515</v>
      </c>
      <c r="B516" s="19" t="s">
        <v>1089</v>
      </c>
      <c r="C516" s="19" t="s">
        <v>1090</v>
      </c>
      <c r="D516" s="8" t="s">
        <v>34</v>
      </c>
      <c r="E516" s="19" t="s">
        <v>269</v>
      </c>
      <c r="F516" s="8" t="s">
        <v>36</v>
      </c>
      <c r="G516" s="7" t="s">
        <v>59</v>
      </c>
      <c r="H516" s="9" t="s">
        <v>44</v>
      </c>
      <c r="I516" s="10"/>
      <c r="J516" s="10" t="s">
        <v>40</v>
      </c>
      <c r="K516" s="10" t="s">
        <v>40</v>
      </c>
      <c r="L516" s="10" t="s">
        <v>40</v>
      </c>
      <c r="M516">
        <v>0</v>
      </c>
      <c r="N516">
        <v>0</v>
      </c>
      <c r="O516">
        <v>0</v>
      </c>
      <c r="P516" s="10" t="s">
        <v>44</v>
      </c>
      <c r="Q516" s="10">
        <f t="array" ref="Q516">IFERROR(SUMPRODUCT((N516:P516&gt;0)*(N516:P516))/3, 0)</f>
        <v>0</v>
      </c>
      <c r="R516" s="10"/>
      <c r="S516" s="11" t="str">
        <f t="shared" si="67"/>
        <v/>
      </c>
      <c r="T516" s="7"/>
      <c r="U516" s="7"/>
      <c r="V516" s="7"/>
      <c r="W516" s="7"/>
      <c r="X516" s="7"/>
      <c r="Y516" s="7"/>
      <c r="Z516" s="15"/>
      <c r="AA516" s="15"/>
      <c r="AB516" s="11" t="str">
        <f t="shared" si="68"/>
        <v/>
      </c>
      <c r="AC516" s="11"/>
      <c r="AD516" s="11"/>
      <c r="AE516" s="11"/>
      <c r="AF516" s="11"/>
      <c r="AG516" s="11"/>
      <c r="AH516" s="11"/>
      <c r="AI516" s="11"/>
      <c r="AJ516" s="15"/>
      <c r="AK516" s="15"/>
      <c r="AL516" s="14">
        <f t="shared" si="69"/>
        <v>3</v>
      </c>
      <c r="AM516" s="11">
        <f t="shared" si="70"/>
        <v>3</v>
      </c>
      <c r="AN516" s="14">
        <f t="shared" si="71"/>
        <v>3</v>
      </c>
      <c r="AO516" s="15"/>
      <c r="AP516" s="15"/>
      <c r="AQ516" s="15"/>
    </row>
    <row r="517" spans="1:43" ht="51" hidden="1" x14ac:dyDescent="0.2">
      <c r="A517" s="7">
        <v>516</v>
      </c>
      <c r="B517" s="19" t="s">
        <v>1091</v>
      </c>
      <c r="C517" s="19" t="s">
        <v>1092</v>
      </c>
      <c r="D517" s="8" t="s">
        <v>34</v>
      </c>
      <c r="E517" s="19" t="s">
        <v>269</v>
      </c>
      <c r="F517" s="8" t="s">
        <v>36</v>
      </c>
      <c r="G517" s="7" t="s">
        <v>59</v>
      </c>
      <c r="H517" s="9" t="s">
        <v>44</v>
      </c>
      <c r="I517" s="10"/>
      <c r="J517" s="10" t="s">
        <v>40</v>
      </c>
      <c r="K517" s="10" t="s">
        <v>40</v>
      </c>
      <c r="L517" s="10" t="s">
        <v>40</v>
      </c>
      <c r="M517">
        <v>0</v>
      </c>
      <c r="N517">
        <v>0</v>
      </c>
      <c r="O517">
        <v>0</v>
      </c>
      <c r="P517" s="10" t="s">
        <v>44</v>
      </c>
      <c r="Q517" s="10">
        <f t="array" ref="Q517">IFERROR(SUMPRODUCT((N517:P517&gt;0)*(N517:P517))/3, 0)</f>
        <v>0</v>
      </c>
      <c r="R517" s="10"/>
      <c r="S517" s="11" t="str">
        <f t="shared" si="67"/>
        <v/>
      </c>
      <c r="T517" s="7"/>
      <c r="U517" s="7"/>
      <c r="V517" s="7"/>
      <c r="W517" s="7"/>
      <c r="X517" s="7"/>
      <c r="Y517" s="7"/>
      <c r="Z517" s="15"/>
      <c r="AA517" s="15"/>
      <c r="AB517" s="11" t="str">
        <f t="shared" si="68"/>
        <v/>
      </c>
      <c r="AC517" s="11"/>
      <c r="AD517" s="11"/>
      <c r="AE517" s="11"/>
      <c r="AF517" s="11"/>
      <c r="AG517" s="11"/>
      <c r="AH517" s="11"/>
      <c r="AI517" s="11"/>
      <c r="AJ517" s="15"/>
      <c r="AK517" s="15"/>
      <c r="AL517" s="14">
        <f t="shared" si="69"/>
        <v>3</v>
      </c>
      <c r="AM517" s="11">
        <f t="shared" si="70"/>
        <v>3</v>
      </c>
      <c r="AN517" s="14">
        <f t="shared" si="71"/>
        <v>3</v>
      </c>
      <c r="AO517" s="15"/>
      <c r="AP517" s="15"/>
      <c r="AQ517" s="15"/>
    </row>
    <row r="518" spans="1:43" ht="34" hidden="1" x14ac:dyDescent="0.2">
      <c r="A518" s="7">
        <v>517</v>
      </c>
      <c r="B518" s="19" t="s">
        <v>1093</v>
      </c>
      <c r="C518" s="19" t="s">
        <v>1094</v>
      </c>
      <c r="D518" s="8" t="s">
        <v>34</v>
      </c>
      <c r="E518" s="19" t="s">
        <v>269</v>
      </c>
      <c r="F518" s="8" t="s">
        <v>36</v>
      </c>
      <c r="G518" s="7" t="s">
        <v>59</v>
      </c>
      <c r="H518" s="9" t="s">
        <v>44</v>
      </c>
      <c r="I518" s="10"/>
      <c r="J518" s="10" t="s">
        <v>40</v>
      </c>
      <c r="K518" s="10" t="s">
        <v>40</v>
      </c>
      <c r="L518" s="10" t="s">
        <v>40</v>
      </c>
      <c r="M518">
        <v>0</v>
      </c>
      <c r="N518">
        <v>0</v>
      </c>
      <c r="O518">
        <v>0</v>
      </c>
      <c r="P518" s="10" t="s">
        <v>44</v>
      </c>
      <c r="Q518" s="10">
        <f t="array" ref="Q518">IFERROR(SUMPRODUCT((N518:P518&gt;0)*(N518:P518))/3, 0)</f>
        <v>0</v>
      </c>
      <c r="R518" s="10"/>
      <c r="S518" s="11" t="str">
        <f t="shared" si="67"/>
        <v/>
      </c>
      <c r="T518" s="7"/>
      <c r="U518" s="7"/>
      <c r="V518" s="7"/>
      <c r="W518" s="7"/>
      <c r="X518" s="7"/>
      <c r="Y518" s="7"/>
      <c r="Z518" s="15"/>
      <c r="AA518" s="15"/>
      <c r="AB518" s="11" t="str">
        <f t="shared" si="68"/>
        <v/>
      </c>
      <c r="AC518" s="11"/>
      <c r="AD518" s="11"/>
      <c r="AE518" s="11"/>
      <c r="AF518" s="11"/>
      <c r="AG518" s="11"/>
      <c r="AH518" s="11"/>
      <c r="AI518" s="11"/>
      <c r="AJ518" s="15"/>
      <c r="AK518" s="15"/>
      <c r="AL518" s="14">
        <f t="shared" si="69"/>
        <v>3</v>
      </c>
      <c r="AM518" s="11">
        <f t="shared" si="70"/>
        <v>3</v>
      </c>
      <c r="AN518" s="14">
        <f t="shared" si="71"/>
        <v>3</v>
      </c>
      <c r="AO518" s="15"/>
      <c r="AP518" s="15"/>
      <c r="AQ518" s="15"/>
    </row>
    <row r="519" spans="1:43" ht="51" hidden="1" x14ac:dyDescent="0.2">
      <c r="A519" s="7">
        <v>518</v>
      </c>
      <c r="B519" s="19" t="s">
        <v>1095</v>
      </c>
      <c r="C519" s="19" t="s">
        <v>1096</v>
      </c>
      <c r="D519" s="8" t="s">
        <v>34</v>
      </c>
      <c r="E519" s="19" t="s">
        <v>269</v>
      </c>
      <c r="F519" s="8" t="s">
        <v>36</v>
      </c>
      <c r="G519" s="7" t="s">
        <v>59</v>
      </c>
      <c r="H519" s="9" t="s">
        <v>44</v>
      </c>
      <c r="I519" s="10"/>
      <c r="J519" s="10" t="s">
        <v>40</v>
      </c>
      <c r="K519" s="10" t="s">
        <v>40</v>
      </c>
      <c r="L519" s="10" t="s">
        <v>40</v>
      </c>
      <c r="M519">
        <v>0</v>
      </c>
      <c r="N519">
        <v>0</v>
      </c>
      <c r="O519">
        <v>0</v>
      </c>
      <c r="P519" s="10" t="s">
        <v>44</v>
      </c>
      <c r="Q519" s="10">
        <f t="array" ref="Q519">IFERROR(SUMPRODUCT((N519:P519&gt;0)*(N519:P519))/3, 0)</f>
        <v>0</v>
      </c>
      <c r="R519" s="10"/>
      <c r="S519" s="11" t="str">
        <f t="shared" si="67"/>
        <v/>
      </c>
      <c r="T519" s="7"/>
      <c r="U519" s="7"/>
      <c r="V519" s="7"/>
      <c r="W519" s="7"/>
      <c r="X519" s="7"/>
      <c r="Y519" s="7"/>
      <c r="Z519" s="15"/>
      <c r="AA519" s="15"/>
      <c r="AB519" s="11" t="str">
        <f t="shared" si="68"/>
        <v/>
      </c>
      <c r="AC519" s="11"/>
      <c r="AD519" s="11"/>
      <c r="AE519" s="11"/>
      <c r="AF519" s="11"/>
      <c r="AG519" s="11"/>
      <c r="AH519" s="11"/>
      <c r="AI519" s="11"/>
      <c r="AJ519" s="15"/>
      <c r="AK519" s="15"/>
      <c r="AL519" s="14">
        <f t="shared" si="69"/>
        <v>3</v>
      </c>
      <c r="AM519" s="11">
        <f t="shared" si="70"/>
        <v>3</v>
      </c>
      <c r="AN519" s="14">
        <f t="shared" si="71"/>
        <v>3</v>
      </c>
      <c r="AO519" s="15"/>
      <c r="AP519" s="15"/>
      <c r="AQ519" s="15"/>
    </row>
    <row r="520" spans="1:43" ht="51" hidden="1" x14ac:dyDescent="0.2">
      <c r="A520" s="7">
        <v>519</v>
      </c>
      <c r="B520" s="19" t="s">
        <v>1097</v>
      </c>
      <c r="C520" s="19" t="s">
        <v>1098</v>
      </c>
      <c r="D520" s="8" t="s">
        <v>34</v>
      </c>
      <c r="E520" s="19" t="s">
        <v>269</v>
      </c>
      <c r="F520" s="8" t="s">
        <v>36</v>
      </c>
      <c r="G520" s="7" t="s">
        <v>59</v>
      </c>
      <c r="H520" s="9" t="s">
        <v>44</v>
      </c>
      <c r="I520" s="10"/>
      <c r="J520" s="10" t="s">
        <v>40</v>
      </c>
      <c r="K520" s="10" t="s">
        <v>40</v>
      </c>
      <c r="L520" s="10" t="s">
        <v>40</v>
      </c>
      <c r="M520">
        <v>0</v>
      </c>
      <c r="N520">
        <v>0</v>
      </c>
      <c r="O520">
        <v>0</v>
      </c>
      <c r="P520" s="10" t="s">
        <v>44</v>
      </c>
      <c r="Q520" s="10">
        <f t="array" ref="Q520">IFERROR(SUMPRODUCT((N520:P520&gt;0)*(N520:P520))/3, 0)</f>
        <v>0</v>
      </c>
      <c r="R520" s="10"/>
      <c r="S520" s="11" t="str">
        <f t="shared" si="67"/>
        <v/>
      </c>
      <c r="T520" s="7"/>
      <c r="U520" s="7"/>
      <c r="V520" s="7"/>
      <c r="W520" s="7"/>
      <c r="X520" s="7"/>
      <c r="Y520" s="7"/>
      <c r="Z520" s="15"/>
      <c r="AA520" s="15"/>
      <c r="AB520" s="11" t="str">
        <f t="shared" si="68"/>
        <v/>
      </c>
      <c r="AC520" s="11"/>
      <c r="AD520" s="11"/>
      <c r="AE520" s="11"/>
      <c r="AF520" s="11"/>
      <c r="AG520" s="11"/>
      <c r="AH520" s="11"/>
      <c r="AI520" s="11"/>
      <c r="AJ520" s="15"/>
      <c r="AK520" s="15"/>
      <c r="AL520" s="14">
        <f t="shared" si="69"/>
        <v>3</v>
      </c>
      <c r="AM520" s="11">
        <f t="shared" si="70"/>
        <v>3</v>
      </c>
      <c r="AN520" s="14">
        <f t="shared" si="71"/>
        <v>3</v>
      </c>
      <c r="AO520" s="15"/>
      <c r="AP520" s="15"/>
      <c r="AQ520" s="15"/>
    </row>
    <row r="521" spans="1:43" ht="34" hidden="1" x14ac:dyDescent="0.2">
      <c r="A521" s="7">
        <v>520</v>
      </c>
      <c r="B521" s="19" t="s">
        <v>1099</v>
      </c>
      <c r="C521" s="19" t="s">
        <v>1100</v>
      </c>
      <c r="D521" s="8" t="s">
        <v>34</v>
      </c>
      <c r="E521" s="19" t="s">
        <v>269</v>
      </c>
      <c r="F521" s="8" t="s">
        <v>36</v>
      </c>
      <c r="G521" s="7" t="s">
        <v>59</v>
      </c>
      <c r="H521" s="9" t="s">
        <v>44</v>
      </c>
      <c r="I521" s="10"/>
      <c r="J521" s="10" t="s">
        <v>40</v>
      </c>
      <c r="K521" s="10" t="s">
        <v>40</v>
      </c>
      <c r="L521" s="10" t="s">
        <v>40</v>
      </c>
      <c r="M521">
        <v>0</v>
      </c>
      <c r="N521">
        <v>0</v>
      </c>
      <c r="O521">
        <v>0</v>
      </c>
      <c r="P521" s="10" t="s">
        <v>44</v>
      </c>
      <c r="Q521" s="10">
        <f t="array" ref="Q521">IFERROR(SUMPRODUCT((N521:P521&gt;0)*(N521:P521))/3, 0)</f>
        <v>0</v>
      </c>
      <c r="R521" s="10"/>
      <c r="S521" s="11" t="str">
        <f t="shared" si="67"/>
        <v/>
      </c>
      <c r="T521" s="7"/>
      <c r="U521" s="7"/>
      <c r="V521" s="7"/>
      <c r="W521" s="7"/>
      <c r="X521" s="7"/>
      <c r="Y521" s="7"/>
      <c r="Z521" s="15"/>
      <c r="AA521" s="15"/>
      <c r="AB521" s="11" t="str">
        <f t="shared" si="68"/>
        <v/>
      </c>
      <c r="AC521" s="11"/>
      <c r="AD521" s="11"/>
      <c r="AE521" s="11"/>
      <c r="AF521" s="11"/>
      <c r="AG521" s="11"/>
      <c r="AH521" s="11"/>
      <c r="AI521" s="11"/>
      <c r="AJ521" s="15"/>
      <c r="AK521" s="15"/>
      <c r="AL521" s="14">
        <f t="shared" si="69"/>
        <v>3</v>
      </c>
      <c r="AM521" s="11">
        <f t="shared" si="70"/>
        <v>3</v>
      </c>
      <c r="AN521" s="14">
        <f t="shared" si="71"/>
        <v>3</v>
      </c>
      <c r="AO521" s="15"/>
      <c r="AP521" s="15"/>
      <c r="AQ521" s="15"/>
    </row>
    <row r="522" spans="1:43" ht="34" hidden="1" x14ac:dyDescent="0.2">
      <c r="A522" s="7">
        <v>521</v>
      </c>
      <c r="B522" s="19" t="s">
        <v>1101</v>
      </c>
      <c r="C522" s="19" t="s">
        <v>1102</v>
      </c>
      <c r="D522" s="8" t="s">
        <v>34</v>
      </c>
      <c r="E522" s="19" t="s">
        <v>269</v>
      </c>
      <c r="F522" s="8" t="s">
        <v>36</v>
      </c>
      <c r="G522" s="7" t="s">
        <v>59</v>
      </c>
      <c r="H522" s="9" t="s">
        <v>44</v>
      </c>
      <c r="I522" s="10"/>
      <c r="J522" s="10" t="s">
        <v>40</v>
      </c>
      <c r="K522" s="10" t="s">
        <v>40</v>
      </c>
      <c r="L522" s="10" t="s">
        <v>40</v>
      </c>
      <c r="M522">
        <v>0</v>
      </c>
      <c r="N522">
        <v>0</v>
      </c>
      <c r="O522">
        <v>0</v>
      </c>
      <c r="P522" s="10" t="s">
        <v>44</v>
      </c>
      <c r="Q522" s="10">
        <f t="array" ref="Q522">IFERROR(SUMPRODUCT((N522:P522&gt;0)*(N522:P522))/3, 0)</f>
        <v>0</v>
      </c>
      <c r="R522" s="10"/>
      <c r="S522" s="11" t="str">
        <f t="shared" si="67"/>
        <v/>
      </c>
      <c r="T522" s="7"/>
      <c r="U522" s="7"/>
      <c r="V522" s="7"/>
      <c r="W522" s="7"/>
      <c r="X522" s="7"/>
      <c r="Y522" s="7"/>
      <c r="Z522" s="15"/>
      <c r="AA522" s="15"/>
      <c r="AB522" s="11" t="str">
        <f t="shared" si="68"/>
        <v/>
      </c>
      <c r="AC522" s="11"/>
      <c r="AD522" s="11"/>
      <c r="AE522" s="11"/>
      <c r="AF522" s="11"/>
      <c r="AG522" s="11"/>
      <c r="AH522" s="11"/>
      <c r="AI522" s="11"/>
      <c r="AJ522" s="15"/>
      <c r="AK522" s="15"/>
      <c r="AL522" s="14">
        <f t="shared" si="69"/>
        <v>3</v>
      </c>
      <c r="AM522" s="11">
        <f t="shared" si="70"/>
        <v>3</v>
      </c>
      <c r="AN522" s="14">
        <f t="shared" si="71"/>
        <v>3</v>
      </c>
      <c r="AO522" s="15"/>
      <c r="AP522" s="15"/>
      <c r="AQ522" s="15"/>
    </row>
    <row r="523" spans="1:43" ht="51" hidden="1" x14ac:dyDescent="0.2">
      <c r="A523" s="7">
        <v>522</v>
      </c>
      <c r="B523" s="19" t="s">
        <v>1103</v>
      </c>
      <c r="C523" s="19" t="s">
        <v>1104</v>
      </c>
      <c r="D523" s="8" t="s">
        <v>34</v>
      </c>
      <c r="E523" s="19" t="s">
        <v>269</v>
      </c>
      <c r="F523" s="8" t="s">
        <v>36</v>
      </c>
      <c r="G523" s="7" t="s">
        <v>59</v>
      </c>
      <c r="H523" s="9" t="s">
        <v>44</v>
      </c>
      <c r="I523" s="10"/>
      <c r="J523" s="10" t="s">
        <v>40</v>
      </c>
      <c r="K523" s="10" t="s">
        <v>40</v>
      </c>
      <c r="L523" s="10" t="s">
        <v>40</v>
      </c>
      <c r="M523">
        <v>0</v>
      </c>
      <c r="N523">
        <v>0</v>
      </c>
      <c r="O523">
        <v>0</v>
      </c>
      <c r="P523" s="10" t="s">
        <v>44</v>
      </c>
      <c r="Q523" s="10">
        <f t="array" ref="Q523">IFERROR(SUMPRODUCT((N523:P523&gt;0)*(N523:P523))/3, 0)</f>
        <v>0</v>
      </c>
      <c r="R523" s="10"/>
      <c r="S523" s="11" t="str">
        <f t="shared" si="67"/>
        <v/>
      </c>
      <c r="T523" s="7"/>
      <c r="U523" s="7"/>
      <c r="V523" s="7"/>
      <c r="W523" s="7"/>
      <c r="X523" s="7"/>
      <c r="Y523" s="7"/>
      <c r="Z523" s="15"/>
      <c r="AA523" s="15"/>
      <c r="AB523" s="11" t="str">
        <f t="shared" si="68"/>
        <v/>
      </c>
      <c r="AC523" s="11"/>
      <c r="AD523" s="11"/>
      <c r="AE523" s="11"/>
      <c r="AF523" s="11"/>
      <c r="AG523" s="11"/>
      <c r="AH523" s="11"/>
      <c r="AI523" s="11"/>
      <c r="AJ523" s="15"/>
      <c r="AK523" s="15"/>
      <c r="AL523" s="14">
        <f t="shared" si="69"/>
        <v>3</v>
      </c>
      <c r="AM523" s="11">
        <f t="shared" si="70"/>
        <v>3</v>
      </c>
      <c r="AN523" s="14">
        <f t="shared" si="71"/>
        <v>3</v>
      </c>
      <c r="AO523" s="15"/>
      <c r="AP523" s="15"/>
      <c r="AQ523" s="15"/>
    </row>
    <row r="524" spans="1:43" ht="51" hidden="1" x14ac:dyDescent="0.2">
      <c r="A524" s="7">
        <v>523</v>
      </c>
      <c r="B524" s="19" t="s">
        <v>1105</v>
      </c>
      <c r="C524" s="19" t="s">
        <v>1106</v>
      </c>
      <c r="D524" s="8" t="s">
        <v>34</v>
      </c>
      <c r="E524" s="19" t="s">
        <v>269</v>
      </c>
      <c r="F524" s="8" t="s">
        <v>36</v>
      </c>
      <c r="G524" s="7" t="s">
        <v>59</v>
      </c>
      <c r="H524" s="9" t="s">
        <v>44</v>
      </c>
      <c r="I524" s="10"/>
      <c r="J524" s="10" t="s">
        <v>40</v>
      </c>
      <c r="K524" s="10" t="s">
        <v>40</v>
      </c>
      <c r="L524" s="10" t="s">
        <v>40</v>
      </c>
      <c r="M524">
        <v>0</v>
      </c>
      <c r="N524">
        <v>0</v>
      </c>
      <c r="O524">
        <v>0</v>
      </c>
      <c r="P524" s="10" t="s">
        <v>44</v>
      </c>
      <c r="Q524" s="10">
        <f t="array" ref="Q524">IFERROR(SUMPRODUCT((N524:P524&gt;0)*(N524:P524))/3, 0)</f>
        <v>0</v>
      </c>
      <c r="R524" s="10"/>
      <c r="S524" s="11" t="str">
        <f t="shared" si="67"/>
        <v/>
      </c>
      <c r="T524" s="7"/>
      <c r="U524" s="7"/>
      <c r="V524" s="7"/>
      <c r="W524" s="7"/>
      <c r="X524" s="7"/>
      <c r="Y524" s="7"/>
      <c r="Z524" s="15"/>
      <c r="AA524" s="15"/>
      <c r="AB524" s="11" t="str">
        <f t="shared" si="68"/>
        <v/>
      </c>
      <c r="AC524" s="11"/>
      <c r="AD524" s="11"/>
      <c r="AE524" s="11"/>
      <c r="AF524" s="11"/>
      <c r="AG524" s="11"/>
      <c r="AH524" s="11"/>
      <c r="AI524" s="11"/>
      <c r="AJ524" s="15"/>
      <c r="AK524" s="15"/>
      <c r="AL524" s="14">
        <f t="shared" si="69"/>
        <v>3</v>
      </c>
      <c r="AM524" s="11">
        <f t="shared" si="70"/>
        <v>3</v>
      </c>
      <c r="AN524" s="14">
        <f t="shared" si="71"/>
        <v>3</v>
      </c>
      <c r="AO524" s="15"/>
      <c r="AP524" s="15"/>
      <c r="AQ524" s="15"/>
    </row>
    <row r="525" spans="1:43" ht="68" hidden="1" x14ac:dyDescent="0.2">
      <c r="A525" s="7">
        <v>524</v>
      </c>
      <c r="B525" s="19" t="s">
        <v>1107</v>
      </c>
      <c r="C525" s="19" t="s">
        <v>1108</v>
      </c>
      <c r="D525" s="8" t="s">
        <v>34</v>
      </c>
      <c r="E525" s="19" t="s">
        <v>269</v>
      </c>
      <c r="F525" s="8" t="s">
        <v>36</v>
      </c>
      <c r="G525" s="7" t="s">
        <v>59</v>
      </c>
      <c r="H525" s="9" t="s">
        <v>44</v>
      </c>
      <c r="I525" s="10"/>
      <c r="J525" s="10" t="s">
        <v>40</v>
      </c>
      <c r="K525" s="10" t="s">
        <v>40</v>
      </c>
      <c r="L525" s="10" t="s">
        <v>40</v>
      </c>
      <c r="M525">
        <v>0</v>
      </c>
      <c r="N525">
        <v>0</v>
      </c>
      <c r="O525">
        <v>0</v>
      </c>
      <c r="P525" s="10" t="s">
        <v>44</v>
      </c>
      <c r="Q525" s="10">
        <f t="array" ref="Q525">IFERROR(SUMPRODUCT((N525:P525&gt;0)*(N525:P525))/3, 0)</f>
        <v>0</v>
      </c>
      <c r="R525" s="10"/>
      <c r="S525" s="11" t="str">
        <f t="shared" si="67"/>
        <v/>
      </c>
      <c r="T525" s="7"/>
      <c r="U525" s="7"/>
      <c r="V525" s="7"/>
      <c r="W525" s="7"/>
      <c r="X525" s="7"/>
      <c r="Y525" s="7"/>
      <c r="Z525" s="15"/>
      <c r="AA525" s="15"/>
      <c r="AB525" s="11" t="str">
        <f t="shared" si="68"/>
        <v/>
      </c>
      <c r="AC525" s="11"/>
      <c r="AD525" s="11"/>
      <c r="AE525" s="11"/>
      <c r="AF525" s="11"/>
      <c r="AG525" s="11"/>
      <c r="AH525" s="11"/>
      <c r="AI525" s="11"/>
      <c r="AJ525" s="15"/>
      <c r="AK525" s="15"/>
      <c r="AL525" s="14">
        <f t="shared" si="69"/>
        <v>3</v>
      </c>
      <c r="AM525" s="11">
        <f t="shared" si="70"/>
        <v>3</v>
      </c>
      <c r="AN525" s="14">
        <f t="shared" si="71"/>
        <v>3</v>
      </c>
      <c r="AO525" s="15"/>
      <c r="AP525" s="15"/>
      <c r="AQ525" s="15"/>
    </row>
    <row r="526" spans="1:43" ht="51" hidden="1" x14ac:dyDescent="0.2">
      <c r="A526" s="7">
        <v>525</v>
      </c>
      <c r="B526" s="19" t="s">
        <v>1109</v>
      </c>
      <c r="C526" s="19" t="s">
        <v>1110</v>
      </c>
      <c r="D526" s="8" t="s">
        <v>34</v>
      </c>
      <c r="E526" s="19" t="s">
        <v>269</v>
      </c>
      <c r="F526" s="8" t="s">
        <v>36</v>
      </c>
      <c r="G526" s="7" t="s">
        <v>59</v>
      </c>
      <c r="H526" s="9" t="s">
        <v>44</v>
      </c>
      <c r="I526" s="10"/>
      <c r="J526" s="10" t="s">
        <v>40</v>
      </c>
      <c r="K526" s="10" t="s">
        <v>40</v>
      </c>
      <c r="L526" s="10" t="s">
        <v>40</v>
      </c>
      <c r="M526">
        <v>0</v>
      </c>
      <c r="N526">
        <v>0</v>
      </c>
      <c r="O526">
        <v>0</v>
      </c>
      <c r="P526" s="10" t="s">
        <v>44</v>
      </c>
      <c r="Q526" s="10">
        <f t="array" ref="Q526">IFERROR(SUMPRODUCT((N526:P526&gt;0)*(N526:P526))/3, 0)</f>
        <v>0</v>
      </c>
      <c r="R526" s="10"/>
      <c r="S526" s="11" t="str">
        <f t="shared" si="67"/>
        <v/>
      </c>
      <c r="T526" s="7"/>
      <c r="U526" s="7"/>
      <c r="V526" s="7"/>
      <c r="W526" s="7"/>
      <c r="X526" s="7"/>
      <c r="Y526" s="7"/>
      <c r="Z526" s="15"/>
      <c r="AA526" s="15"/>
      <c r="AB526" s="11" t="str">
        <f t="shared" si="68"/>
        <v/>
      </c>
      <c r="AC526" s="11"/>
      <c r="AD526" s="11"/>
      <c r="AE526" s="11"/>
      <c r="AF526" s="11"/>
      <c r="AG526" s="11"/>
      <c r="AH526" s="11"/>
      <c r="AI526" s="11"/>
      <c r="AJ526" s="15"/>
      <c r="AK526" s="15"/>
      <c r="AL526" s="14">
        <f t="shared" si="69"/>
        <v>3</v>
      </c>
      <c r="AM526" s="11">
        <f t="shared" si="70"/>
        <v>3</v>
      </c>
      <c r="AN526" s="14">
        <f t="shared" si="71"/>
        <v>3</v>
      </c>
      <c r="AO526" s="15"/>
      <c r="AP526" s="15"/>
      <c r="AQ526" s="15"/>
    </row>
    <row r="527" spans="1:43" ht="51" hidden="1" x14ac:dyDescent="0.2">
      <c r="A527" s="7">
        <v>526</v>
      </c>
      <c r="B527" s="19" t="s">
        <v>1111</v>
      </c>
      <c r="C527" s="19" t="s">
        <v>1112</v>
      </c>
      <c r="D527" s="8" t="s">
        <v>34</v>
      </c>
      <c r="E527" s="19" t="s">
        <v>269</v>
      </c>
      <c r="F527" s="8" t="s">
        <v>36</v>
      </c>
      <c r="G527" s="7" t="s">
        <v>59</v>
      </c>
      <c r="H527" s="9" t="s">
        <v>44</v>
      </c>
      <c r="I527" s="10"/>
      <c r="J527" s="10" t="s">
        <v>40</v>
      </c>
      <c r="K527" s="10" t="s">
        <v>40</v>
      </c>
      <c r="L527" s="10" t="s">
        <v>40</v>
      </c>
      <c r="M527">
        <v>0</v>
      </c>
      <c r="N527">
        <v>0</v>
      </c>
      <c r="O527">
        <v>0</v>
      </c>
      <c r="P527" s="10" t="s">
        <v>44</v>
      </c>
      <c r="Q527" s="10">
        <f t="array" ref="Q527">IFERROR(SUMPRODUCT((N527:P527&gt;0)*(N527:P527))/3, 0)</f>
        <v>0</v>
      </c>
      <c r="R527" s="10"/>
      <c r="S527" s="11" t="str">
        <f t="shared" si="67"/>
        <v/>
      </c>
      <c r="T527" s="7"/>
      <c r="U527" s="7"/>
      <c r="V527" s="7"/>
      <c r="W527" s="7"/>
      <c r="X527" s="7"/>
      <c r="Y527" s="7"/>
      <c r="Z527" s="15"/>
      <c r="AA527" s="15"/>
      <c r="AB527" s="11" t="str">
        <f t="shared" si="68"/>
        <v/>
      </c>
      <c r="AC527" s="11"/>
      <c r="AD527" s="11"/>
      <c r="AE527" s="11"/>
      <c r="AF527" s="11"/>
      <c r="AG527" s="11"/>
      <c r="AH527" s="11"/>
      <c r="AI527" s="11"/>
      <c r="AJ527" s="15"/>
      <c r="AK527" s="15"/>
      <c r="AL527" s="14">
        <f t="shared" si="69"/>
        <v>3</v>
      </c>
      <c r="AM527" s="11">
        <f t="shared" si="70"/>
        <v>3</v>
      </c>
      <c r="AN527" s="14">
        <f t="shared" si="71"/>
        <v>3</v>
      </c>
      <c r="AO527" s="15"/>
      <c r="AP527" s="15"/>
      <c r="AQ527" s="15"/>
    </row>
    <row r="528" spans="1:43" ht="51" hidden="1" x14ac:dyDescent="0.2">
      <c r="A528" s="7">
        <v>527</v>
      </c>
      <c r="B528" s="19" t="s">
        <v>1113</v>
      </c>
      <c r="C528" s="19" t="s">
        <v>1114</v>
      </c>
      <c r="D528" s="8" t="s">
        <v>34</v>
      </c>
      <c r="E528" s="19" t="s">
        <v>269</v>
      </c>
      <c r="F528" s="8" t="s">
        <v>36</v>
      </c>
      <c r="G528" s="7" t="s">
        <v>59</v>
      </c>
      <c r="H528" s="9" t="s">
        <v>44</v>
      </c>
      <c r="I528" s="10"/>
      <c r="J528" s="10" t="s">
        <v>40</v>
      </c>
      <c r="K528" s="10" t="s">
        <v>40</v>
      </c>
      <c r="L528" s="10" t="s">
        <v>40</v>
      </c>
      <c r="M528">
        <v>0</v>
      </c>
      <c r="N528">
        <v>0</v>
      </c>
      <c r="O528">
        <v>0</v>
      </c>
      <c r="P528" s="10" t="s">
        <v>44</v>
      </c>
      <c r="Q528" s="10">
        <f t="array" ref="Q528">IFERROR(SUMPRODUCT((N528:P528&gt;0)*(N528:P528))/3, 0)</f>
        <v>0</v>
      </c>
      <c r="R528" s="10"/>
      <c r="S528" s="11" t="str">
        <f t="shared" si="67"/>
        <v/>
      </c>
      <c r="T528" s="7"/>
      <c r="U528" s="7"/>
      <c r="V528" s="7"/>
      <c r="W528" s="7"/>
      <c r="X528" s="7"/>
      <c r="Y528" s="7"/>
      <c r="Z528" s="15"/>
      <c r="AA528" s="15"/>
      <c r="AB528" s="11" t="str">
        <f t="shared" si="68"/>
        <v/>
      </c>
      <c r="AC528" s="11"/>
      <c r="AD528" s="11"/>
      <c r="AE528" s="11"/>
      <c r="AF528" s="11"/>
      <c r="AG528" s="11"/>
      <c r="AH528" s="11"/>
      <c r="AI528" s="11"/>
      <c r="AJ528" s="15"/>
      <c r="AK528" s="15"/>
      <c r="AL528" s="14">
        <f t="shared" si="69"/>
        <v>3</v>
      </c>
      <c r="AM528" s="11">
        <f t="shared" si="70"/>
        <v>3</v>
      </c>
      <c r="AN528" s="14">
        <f t="shared" si="71"/>
        <v>3</v>
      </c>
      <c r="AO528" s="15"/>
      <c r="AP528" s="15"/>
      <c r="AQ528" s="15"/>
    </row>
    <row r="529" spans="1:43" ht="34" hidden="1" x14ac:dyDescent="0.2">
      <c r="A529" s="7">
        <v>528</v>
      </c>
      <c r="B529" s="19" t="s">
        <v>1115</v>
      </c>
      <c r="C529" s="19" t="s">
        <v>1116</v>
      </c>
      <c r="D529" s="8" t="s">
        <v>34</v>
      </c>
      <c r="E529" s="19" t="s">
        <v>269</v>
      </c>
      <c r="F529" s="8" t="s">
        <v>36</v>
      </c>
      <c r="G529" s="7" t="s">
        <v>59</v>
      </c>
      <c r="H529" s="9" t="s">
        <v>44</v>
      </c>
      <c r="I529" s="10"/>
      <c r="J529" s="10" t="s">
        <v>40</v>
      </c>
      <c r="K529" s="10" t="s">
        <v>40</v>
      </c>
      <c r="L529" s="10" t="s">
        <v>40</v>
      </c>
      <c r="M529">
        <v>0</v>
      </c>
      <c r="N529">
        <v>0</v>
      </c>
      <c r="O529">
        <v>0</v>
      </c>
      <c r="P529" s="10" t="s">
        <v>44</v>
      </c>
      <c r="Q529" s="10">
        <f t="array" ref="Q529">IFERROR(SUMPRODUCT((N529:P529&gt;0)*(N529:P529))/3, 0)</f>
        <v>0</v>
      </c>
      <c r="R529" s="10"/>
      <c r="S529" s="11" t="str">
        <f t="shared" si="67"/>
        <v/>
      </c>
      <c r="T529" s="7"/>
      <c r="U529" s="7"/>
      <c r="V529" s="7"/>
      <c r="W529" s="7"/>
      <c r="X529" s="7"/>
      <c r="Y529" s="7"/>
      <c r="Z529" s="15"/>
      <c r="AA529" s="15"/>
      <c r="AB529" s="11" t="str">
        <f t="shared" si="68"/>
        <v/>
      </c>
      <c r="AC529" s="11"/>
      <c r="AD529" s="11"/>
      <c r="AE529" s="11"/>
      <c r="AF529" s="11"/>
      <c r="AG529" s="11"/>
      <c r="AH529" s="11"/>
      <c r="AI529" s="11"/>
      <c r="AJ529" s="15"/>
      <c r="AK529" s="15"/>
      <c r="AL529" s="14">
        <f t="shared" si="69"/>
        <v>3</v>
      </c>
      <c r="AM529" s="11">
        <f t="shared" si="70"/>
        <v>3</v>
      </c>
      <c r="AN529" s="14">
        <f t="shared" si="71"/>
        <v>3</v>
      </c>
      <c r="AO529" s="15"/>
      <c r="AP529" s="15"/>
      <c r="AQ529" s="15"/>
    </row>
    <row r="530" spans="1:43" ht="34" hidden="1" x14ac:dyDescent="0.2">
      <c r="A530" s="7">
        <v>529</v>
      </c>
      <c r="B530" s="19" t="s">
        <v>1117</v>
      </c>
      <c r="C530" s="19" t="s">
        <v>1118</v>
      </c>
      <c r="D530" s="8" t="s">
        <v>34</v>
      </c>
      <c r="E530" s="19" t="s">
        <v>269</v>
      </c>
      <c r="F530" s="8" t="s">
        <v>36</v>
      </c>
      <c r="G530" s="7" t="s">
        <v>59</v>
      </c>
      <c r="H530" s="9" t="s">
        <v>44</v>
      </c>
      <c r="I530" s="10"/>
      <c r="J530" s="10" t="s">
        <v>40</v>
      </c>
      <c r="K530" s="10" t="s">
        <v>40</v>
      </c>
      <c r="L530" s="10" t="s">
        <v>40</v>
      </c>
      <c r="M530">
        <v>0</v>
      </c>
      <c r="N530">
        <v>0</v>
      </c>
      <c r="O530">
        <v>0</v>
      </c>
      <c r="P530" s="10" t="s">
        <v>44</v>
      </c>
      <c r="Q530" s="10">
        <f t="array" ref="Q530">IFERROR(SUMPRODUCT((N530:P530&gt;0)*(N530:P530))/3, 0)</f>
        <v>0</v>
      </c>
      <c r="R530" s="10"/>
      <c r="S530" s="11" t="str">
        <f t="shared" si="67"/>
        <v/>
      </c>
      <c r="T530" s="7"/>
      <c r="U530" s="7"/>
      <c r="V530" s="7"/>
      <c r="W530" s="7"/>
      <c r="X530" s="7"/>
      <c r="Y530" s="7"/>
      <c r="Z530" s="15"/>
      <c r="AA530" s="15"/>
      <c r="AB530" s="11" t="str">
        <f t="shared" si="68"/>
        <v/>
      </c>
      <c r="AC530" s="11"/>
      <c r="AD530" s="11"/>
      <c r="AE530" s="11"/>
      <c r="AF530" s="11"/>
      <c r="AG530" s="11"/>
      <c r="AH530" s="11"/>
      <c r="AI530" s="11"/>
      <c r="AJ530" s="15"/>
      <c r="AK530" s="15"/>
      <c r="AL530" s="14">
        <f t="shared" si="69"/>
        <v>3</v>
      </c>
      <c r="AM530" s="11">
        <f t="shared" si="70"/>
        <v>3</v>
      </c>
      <c r="AN530" s="14">
        <f t="shared" si="71"/>
        <v>3</v>
      </c>
      <c r="AO530" s="15"/>
      <c r="AP530" s="15"/>
      <c r="AQ530" s="15"/>
    </row>
    <row r="531" spans="1:43" ht="51" hidden="1" x14ac:dyDescent="0.2">
      <c r="A531" s="7">
        <v>530</v>
      </c>
      <c r="B531" s="19" t="s">
        <v>1119</v>
      </c>
      <c r="C531" s="19" t="s">
        <v>1120</v>
      </c>
      <c r="D531" s="8" t="s">
        <v>34</v>
      </c>
      <c r="E531" s="19" t="s">
        <v>269</v>
      </c>
      <c r="F531" s="8" t="s">
        <v>36</v>
      </c>
      <c r="G531" s="7" t="s">
        <v>59</v>
      </c>
      <c r="H531" s="9" t="s">
        <v>44</v>
      </c>
      <c r="I531" s="10"/>
      <c r="J531" s="10" t="s">
        <v>40</v>
      </c>
      <c r="K531" s="10" t="s">
        <v>40</v>
      </c>
      <c r="L531" s="10" t="s">
        <v>40</v>
      </c>
      <c r="M531">
        <v>0</v>
      </c>
      <c r="N531">
        <v>0</v>
      </c>
      <c r="O531">
        <v>0</v>
      </c>
      <c r="P531" s="10" t="s">
        <v>44</v>
      </c>
      <c r="Q531" s="10">
        <f t="array" ref="Q531">IFERROR(SUMPRODUCT((N531:P531&gt;0)*(N531:P531))/3, 0)</f>
        <v>0</v>
      </c>
      <c r="R531" s="10"/>
      <c r="S531" s="11" t="str">
        <f t="shared" si="67"/>
        <v/>
      </c>
      <c r="T531" s="7"/>
      <c r="U531" s="7"/>
      <c r="V531" s="7"/>
      <c r="W531" s="7"/>
      <c r="X531" s="7"/>
      <c r="Y531" s="7"/>
      <c r="Z531" s="15"/>
      <c r="AA531" s="15"/>
      <c r="AB531" s="11" t="str">
        <f t="shared" si="68"/>
        <v/>
      </c>
      <c r="AC531" s="11"/>
      <c r="AD531" s="11"/>
      <c r="AE531" s="11"/>
      <c r="AF531" s="11"/>
      <c r="AG531" s="11"/>
      <c r="AH531" s="11"/>
      <c r="AI531" s="11"/>
      <c r="AJ531" s="15"/>
      <c r="AK531" s="15"/>
      <c r="AL531" s="14">
        <f t="shared" si="69"/>
        <v>3</v>
      </c>
      <c r="AM531" s="11">
        <f t="shared" si="70"/>
        <v>3</v>
      </c>
      <c r="AN531" s="14">
        <f t="shared" si="71"/>
        <v>3</v>
      </c>
      <c r="AO531" s="15"/>
      <c r="AP531" s="15"/>
      <c r="AQ531" s="15"/>
    </row>
    <row r="532" spans="1:43" ht="34" hidden="1" x14ac:dyDescent="0.2">
      <c r="A532" s="7">
        <v>531</v>
      </c>
      <c r="B532" s="19" t="s">
        <v>1121</v>
      </c>
      <c r="C532" s="19" t="s">
        <v>1122</v>
      </c>
      <c r="D532" s="8" t="s">
        <v>34</v>
      </c>
      <c r="E532" s="19" t="s">
        <v>269</v>
      </c>
      <c r="F532" s="8" t="s">
        <v>36</v>
      </c>
      <c r="G532" s="7" t="s">
        <v>59</v>
      </c>
      <c r="H532" s="9" t="s">
        <v>44</v>
      </c>
      <c r="I532" s="10"/>
      <c r="J532" s="10" t="s">
        <v>40</v>
      </c>
      <c r="K532" s="10" t="s">
        <v>40</v>
      </c>
      <c r="L532" s="10" t="s">
        <v>40</v>
      </c>
      <c r="M532">
        <v>0</v>
      </c>
      <c r="N532">
        <v>0</v>
      </c>
      <c r="O532">
        <v>0</v>
      </c>
      <c r="P532" s="10" t="s">
        <v>44</v>
      </c>
      <c r="Q532" s="10">
        <f t="array" ref="Q532">IFERROR(SUMPRODUCT((N532:P532&gt;0)*(N532:P532))/3, 0)</f>
        <v>0</v>
      </c>
      <c r="R532" s="10"/>
      <c r="S532" s="11" t="str">
        <f t="shared" si="67"/>
        <v/>
      </c>
      <c r="T532" s="7"/>
      <c r="U532" s="7"/>
      <c r="V532" s="7"/>
      <c r="W532" s="7"/>
      <c r="X532" s="7"/>
      <c r="Y532" s="7"/>
      <c r="Z532" s="15"/>
      <c r="AA532" s="15"/>
      <c r="AB532" s="11" t="str">
        <f t="shared" si="68"/>
        <v/>
      </c>
      <c r="AC532" s="11"/>
      <c r="AD532" s="11"/>
      <c r="AE532" s="11"/>
      <c r="AF532" s="11"/>
      <c r="AG532" s="11"/>
      <c r="AH532" s="11"/>
      <c r="AI532" s="11"/>
      <c r="AJ532" s="15"/>
      <c r="AK532" s="15"/>
      <c r="AL532" s="14">
        <f t="shared" si="69"/>
        <v>3</v>
      </c>
      <c r="AM532" s="11">
        <f t="shared" si="70"/>
        <v>3</v>
      </c>
      <c r="AN532" s="14">
        <f t="shared" si="71"/>
        <v>3</v>
      </c>
      <c r="AO532" s="15"/>
      <c r="AP532" s="15"/>
      <c r="AQ532" s="15"/>
    </row>
    <row r="533" spans="1:43" ht="34" hidden="1" x14ac:dyDescent="0.2">
      <c r="A533" s="7">
        <v>532</v>
      </c>
      <c r="B533" s="19" t="s">
        <v>1123</v>
      </c>
      <c r="C533" s="19" t="s">
        <v>1124</v>
      </c>
      <c r="D533" s="8" t="s">
        <v>34</v>
      </c>
      <c r="E533" s="19" t="s">
        <v>269</v>
      </c>
      <c r="F533" s="8" t="s">
        <v>36</v>
      </c>
      <c r="G533" s="7" t="s">
        <v>59</v>
      </c>
      <c r="H533" s="9" t="s">
        <v>44</v>
      </c>
      <c r="I533" s="10"/>
      <c r="J533" s="10" t="s">
        <v>40</v>
      </c>
      <c r="K533" s="10" t="s">
        <v>40</v>
      </c>
      <c r="L533" s="10" t="s">
        <v>40</v>
      </c>
      <c r="M533">
        <v>0</v>
      </c>
      <c r="N533">
        <v>0</v>
      </c>
      <c r="O533">
        <v>0</v>
      </c>
      <c r="P533" s="10" t="s">
        <v>44</v>
      </c>
      <c r="Q533" s="10">
        <f t="array" ref="Q533">IFERROR(SUMPRODUCT((N533:P533&gt;0)*(N533:P533))/3, 0)</f>
        <v>0</v>
      </c>
      <c r="R533" s="10"/>
      <c r="S533" s="11" t="str">
        <f t="shared" si="67"/>
        <v/>
      </c>
      <c r="T533" s="7"/>
      <c r="U533" s="7"/>
      <c r="V533" s="7"/>
      <c r="W533" s="7"/>
      <c r="X533" s="7"/>
      <c r="Y533" s="7"/>
      <c r="Z533" s="15"/>
      <c r="AA533" s="15"/>
      <c r="AB533" s="11" t="str">
        <f t="shared" si="68"/>
        <v/>
      </c>
      <c r="AC533" s="11"/>
      <c r="AD533" s="11"/>
      <c r="AE533" s="11"/>
      <c r="AF533" s="11"/>
      <c r="AG533" s="11"/>
      <c r="AH533" s="11"/>
      <c r="AI533" s="11"/>
      <c r="AJ533" s="15"/>
      <c r="AK533" s="15"/>
      <c r="AL533" s="14">
        <f t="shared" si="69"/>
        <v>3</v>
      </c>
      <c r="AM533" s="11">
        <f t="shared" si="70"/>
        <v>3</v>
      </c>
      <c r="AN533" s="14">
        <f t="shared" si="71"/>
        <v>3</v>
      </c>
      <c r="AO533" s="15"/>
      <c r="AP533" s="15"/>
      <c r="AQ533" s="15"/>
    </row>
    <row r="534" spans="1:43" ht="34" hidden="1" x14ac:dyDescent="0.2">
      <c r="A534" s="7">
        <v>533</v>
      </c>
      <c r="B534" s="19" t="s">
        <v>1125</v>
      </c>
      <c r="C534" s="19" t="s">
        <v>1126</v>
      </c>
      <c r="D534" s="8" t="s">
        <v>34</v>
      </c>
      <c r="E534" s="19" t="s">
        <v>269</v>
      </c>
      <c r="F534" s="8" t="s">
        <v>36</v>
      </c>
      <c r="G534" s="7" t="s">
        <v>59</v>
      </c>
      <c r="H534" s="9" t="s">
        <v>44</v>
      </c>
      <c r="I534" s="10"/>
      <c r="J534" s="10" t="s">
        <v>40</v>
      </c>
      <c r="K534" s="10" t="s">
        <v>40</v>
      </c>
      <c r="L534" s="10" t="s">
        <v>40</v>
      </c>
      <c r="M534">
        <v>0</v>
      </c>
      <c r="N534">
        <v>0</v>
      </c>
      <c r="O534">
        <v>0</v>
      </c>
      <c r="P534" s="10" t="s">
        <v>44</v>
      </c>
      <c r="Q534" s="10">
        <f t="array" ref="Q534">IFERROR(SUMPRODUCT((N534:P534&gt;0)*(N534:P534))/3, 0)</f>
        <v>0</v>
      </c>
      <c r="R534" s="10"/>
      <c r="S534" s="11" t="str">
        <f t="shared" si="67"/>
        <v/>
      </c>
      <c r="T534" s="7"/>
      <c r="U534" s="7"/>
      <c r="V534" s="7"/>
      <c r="W534" s="7"/>
      <c r="X534" s="7"/>
      <c r="Y534" s="7"/>
      <c r="Z534" s="15"/>
      <c r="AA534" s="15"/>
      <c r="AB534" s="11" t="str">
        <f t="shared" si="68"/>
        <v/>
      </c>
      <c r="AC534" s="11"/>
      <c r="AD534" s="11"/>
      <c r="AE534" s="11"/>
      <c r="AF534" s="11"/>
      <c r="AG534" s="11"/>
      <c r="AH534" s="11"/>
      <c r="AI534" s="11"/>
      <c r="AJ534" s="15"/>
      <c r="AK534" s="15"/>
      <c r="AL534" s="14">
        <f t="shared" si="69"/>
        <v>3</v>
      </c>
      <c r="AM534" s="11">
        <f t="shared" si="70"/>
        <v>3</v>
      </c>
      <c r="AN534" s="14">
        <f t="shared" si="71"/>
        <v>3</v>
      </c>
      <c r="AO534" s="15"/>
      <c r="AP534" s="15"/>
      <c r="AQ534" s="15"/>
    </row>
    <row r="535" spans="1:43" ht="34" hidden="1" x14ac:dyDescent="0.2">
      <c r="A535" s="7">
        <v>534</v>
      </c>
      <c r="B535" s="19" t="s">
        <v>1127</v>
      </c>
      <c r="C535" s="19" t="s">
        <v>1128</v>
      </c>
      <c r="D535" s="8" t="s">
        <v>34</v>
      </c>
      <c r="E535" s="19" t="s">
        <v>269</v>
      </c>
      <c r="F535" s="8" t="s">
        <v>36</v>
      </c>
      <c r="G535" s="7" t="s">
        <v>59</v>
      </c>
      <c r="H535" s="9" t="s">
        <v>44</v>
      </c>
      <c r="I535" s="10"/>
      <c r="J535" s="10" t="s">
        <v>40</v>
      </c>
      <c r="K535" s="10" t="s">
        <v>40</v>
      </c>
      <c r="L535" s="10" t="s">
        <v>40</v>
      </c>
      <c r="M535">
        <v>0</v>
      </c>
      <c r="N535">
        <v>0</v>
      </c>
      <c r="O535">
        <v>0</v>
      </c>
      <c r="P535" s="10" t="s">
        <v>44</v>
      </c>
      <c r="Q535" s="10">
        <f t="array" ref="Q535">IFERROR(SUMPRODUCT((N535:P535&gt;0)*(N535:P535))/3, 0)</f>
        <v>0</v>
      </c>
      <c r="R535" s="10"/>
      <c r="S535" s="11" t="str">
        <f t="shared" si="67"/>
        <v/>
      </c>
      <c r="T535" s="7"/>
      <c r="U535" s="7"/>
      <c r="V535" s="7"/>
      <c r="W535" s="7"/>
      <c r="X535" s="7"/>
      <c r="Y535" s="7"/>
      <c r="Z535" s="15"/>
      <c r="AA535" s="15"/>
      <c r="AB535" s="11" t="str">
        <f t="shared" si="68"/>
        <v/>
      </c>
      <c r="AC535" s="11"/>
      <c r="AD535" s="11"/>
      <c r="AE535" s="11"/>
      <c r="AF535" s="11"/>
      <c r="AG535" s="11"/>
      <c r="AH535" s="11"/>
      <c r="AI535" s="11"/>
      <c r="AJ535" s="15"/>
      <c r="AK535" s="15"/>
      <c r="AL535" s="14">
        <f t="shared" si="69"/>
        <v>3</v>
      </c>
      <c r="AM535" s="11">
        <f t="shared" si="70"/>
        <v>3</v>
      </c>
      <c r="AN535" s="14">
        <f t="shared" si="71"/>
        <v>3</v>
      </c>
      <c r="AO535" s="15"/>
      <c r="AP535" s="15"/>
      <c r="AQ535" s="15"/>
    </row>
    <row r="536" spans="1:43" ht="34" hidden="1" x14ac:dyDescent="0.2">
      <c r="A536" s="7">
        <v>535</v>
      </c>
      <c r="B536" s="19" t="s">
        <v>1129</v>
      </c>
      <c r="C536" s="19" t="s">
        <v>1130</v>
      </c>
      <c r="D536" s="8" t="s">
        <v>34</v>
      </c>
      <c r="E536" s="19" t="s">
        <v>269</v>
      </c>
      <c r="F536" s="8" t="s">
        <v>36</v>
      </c>
      <c r="G536" s="7" t="s">
        <v>59</v>
      </c>
      <c r="H536" s="9" t="s">
        <v>44</v>
      </c>
      <c r="I536" s="10"/>
      <c r="J536" s="10" t="s">
        <v>40</v>
      </c>
      <c r="K536" s="10" t="s">
        <v>40</v>
      </c>
      <c r="L536" s="10" t="s">
        <v>40</v>
      </c>
      <c r="M536">
        <v>0</v>
      </c>
      <c r="N536">
        <v>0</v>
      </c>
      <c r="O536">
        <v>0</v>
      </c>
      <c r="P536" s="10" t="s">
        <v>44</v>
      </c>
      <c r="Q536" s="10">
        <f t="array" ref="Q536">IFERROR(SUMPRODUCT((N536:P536&gt;0)*(N536:P536))/3, 0)</f>
        <v>0</v>
      </c>
      <c r="R536" s="10"/>
      <c r="S536" s="11" t="str">
        <f t="shared" si="67"/>
        <v/>
      </c>
      <c r="T536" s="7"/>
      <c r="U536" s="7"/>
      <c r="V536" s="7"/>
      <c r="W536" s="7"/>
      <c r="X536" s="7"/>
      <c r="Y536" s="7"/>
      <c r="Z536" s="15"/>
      <c r="AA536" s="15"/>
      <c r="AB536" s="11" t="str">
        <f t="shared" si="68"/>
        <v/>
      </c>
      <c r="AC536" s="11"/>
      <c r="AD536" s="11"/>
      <c r="AE536" s="11"/>
      <c r="AF536" s="11"/>
      <c r="AG536" s="11"/>
      <c r="AH536" s="11"/>
      <c r="AI536" s="11"/>
      <c r="AJ536" s="15"/>
      <c r="AK536" s="15"/>
      <c r="AL536" s="14">
        <f t="shared" si="69"/>
        <v>3</v>
      </c>
      <c r="AM536" s="11">
        <f t="shared" si="70"/>
        <v>3</v>
      </c>
      <c r="AN536" s="14">
        <f t="shared" si="71"/>
        <v>3</v>
      </c>
      <c r="AO536" s="15"/>
      <c r="AP536" s="15"/>
      <c r="AQ536" s="15"/>
    </row>
    <row r="537" spans="1:43" ht="51" hidden="1" x14ac:dyDescent="0.2">
      <c r="A537" s="7">
        <v>536</v>
      </c>
      <c r="B537" s="19" t="s">
        <v>1131</v>
      </c>
      <c r="C537" s="19" t="s">
        <v>1132</v>
      </c>
      <c r="D537" s="8" t="s">
        <v>34</v>
      </c>
      <c r="E537" s="19" t="s">
        <v>269</v>
      </c>
      <c r="F537" s="8" t="s">
        <v>36</v>
      </c>
      <c r="G537" s="7" t="s">
        <v>59</v>
      </c>
      <c r="H537" s="9" t="s">
        <v>44</v>
      </c>
      <c r="I537" s="10"/>
      <c r="J537" s="10" t="s">
        <v>40</v>
      </c>
      <c r="K537" s="10" t="s">
        <v>40</v>
      </c>
      <c r="L537" s="10" t="s">
        <v>40</v>
      </c>
      <c r="M537">
        <v>0</v>
      </c>
      <c r="N537">
        <v>0</v>
      </c>
      <c r="O537">
        <v>0</v>
      </c>
      <c r="P537" s="10" t="s">
        <v>44</v>
      </c>
      <c r="Q537" s="10">
        <f t="array" ref="Q537">IFERROR(SUMPRODUCT((N537:P537&gt;0)*(N537:P537))/3, 0)</f>
        <v>0</v>
      </c>
      <c r="R537" s="10"/>
      <c r="S537" s="11" t="str">
        <f t="shared" si="67"/>
        <v/>
      </c>
      <c r="T537" s="7"/>
      <c r="U537" s="7"/>
      <c r="V537" s="7"/>
      <c r="W537" s="7"/>
      <c r="X537" s="7"/>
      <c r="Y537" s="7"/>
      <c r="Z537" s="15"/>
      <c r="AA537" s="15"/>
      <c r="AB537" s="11" t="str">
        <f t="shared" si="68"/>
        <v/>
      </c>
      <c r="AC537" s="11"/>
      <c r="AD537" s="11"/>
      <c r="AE537" s="11"/>
      <c r="AF537" s="11"/>
      <c r="AG537" s="11"/>
      <c r="AH537" s="11"/>
      <c r="AI537" s="11"/>
      <c r="AJ537" s="15"/>
      <c r="AK537" s="15"/>
      <c r="AL537" s="14">
        <f t="shared" si="69"/>
        <v>3</v>
      </c>
      <c r="AM537" s="11">
        <f t="shared" si="70"/>
        <v>3</v>
      </c>
      <c r="AN537" s="14">
        <f t="shared" si="71"/>
        <v>3</v>
      </c>
      <c r="AO537" s="15"/>
      <c r="AP537" s="15"/>
      <c r="AQ537" s="15"/>
    </row>
    <row r="538" spans="1:43" ht="34" hidden="1" x14ac:dyDescent="0.2">
      <c r="A538" s="7">
        <v>537</v>
      </c>
      <c r="B538" s="19" t="s">
        <v>1133</v>
      </c>
      <c r="C538" s="19" t="s">
        <v>1134</v>
      </c>
      <c r="D538" s="8" t="s">
        <v>34</v>
      </c>
      <c r="E538" s="19" t="s">
        <v>269</v>
      </c>
      <c r="F538" s="8" t="s">
        <v>36</v>
      </c>
      <c r="G538" s="7" t="s">
        <v>59</v>
      </c>
      <c r="H538" s="9" t="s">
        <v>44</v>
      </c>
      <c r="I538" s="10"/>
      <c r="J538" s="10" t="s">
        <v>40</v>
      </c>
      <c r="K538" s="10" t="s">
        <v>40</v>
      </c>
      <c r="L538" s="10" t="s">
        <v>40</v>
      </c>
      <c r="M538">
        <v>0</v>
      </c>
      <c r="N538">
        <v>0</v>
      </c>
      <c r="O538">
        <v>0</v>
      </c>
      <c r="P538" s="10" t="s">
        <v>44</v>
      </c>
      <c r="Q538" s="10">
        <f t="array" ref="Q538">IFERROR(SUMPRODUCT((N538:P538&gt;0)*(N538:P538))/3, 0)</f>
        <v>0</v>
      </c>
      <c r="R538" s="10"/>
      <c r="S538" s="11" t="str">
        <f t="shared" si="67"/>
        <v/>
      </c>
      <c r="T538" s="7"/>
      <c r="U538" s="7"/>
      <c r="V538" s="7"/>
      <c r="W538" s="7"/>
      <c r="X538" s="7"/>
      <c r="Y538" s="7"/>
      <c r="Z538" s="15"/>
      <c r="AA538" s="15"/>
      <c r="AB538" s="11" t="str">
        <f t="shared" si="68"/>
        <v/>
      </c>
      <c r="AC538" s="11"/>
      <c r="AD538" s="11"/>
      <c r="AE538" s="11"/>
      <c r="AF538" s="11"/>
      <c r="AG538" s="11"/>
      <c r="AH538" s="11"/>
      <c r="AI538" s="11"/>
      <c r="AJ538" s="15"/>
      <c r="AK538" s="15"/>
      <c r="AL538" s="14">
        <f t="shared" si="69"/>
        <v>3</v>
      </c>
      <c r="AM538" s="11">
        <f t="shared" si="70"/>
        <v>3</v>
      </c>
      <c r="AN538" s="14">
        <f t="shared" si="71"/>
        <v>3</v>
      </c>
      <c r="AO538" s="15"/>
      <c r="AP538" s="15"/>
      <c r="AQ538" s="15"/>
    </row>
    <row r="539" spans="1:43" ht="51" hidden="1" x14ac:dyDescent="0.2">
      <c r="A539" s="7">
        <v>538</v>
      </c>
      <c r="B539" s="19" t="s">
        <v>1135</v>
      </c>
      <c r="C539" s="19" t="s">
        <v>1136</v>
      </c>
      <c r="D539" s="8" t="s">
        <v>34</v>
      </c>
      <c r="E539" s="19" t="s">
        <v>269</v>
      </c>
      <c r="F539" s="8" t="s">
        <v>36</v>
      </c>
      <c r="G539" s="7" t="s">
        <v>59</v>
      </c>
      <c r="H539" s="9" t="s">
        <v>44</v>
      </c>
      <c r="I539" s="10"/>
      <c r="J539" s="10" t="s">
        <v>40</v>
      </c>
      <c r="K539" s="10" t="s">
        <v>40</v>
      </c>
      <c r="L539" s="10" t="s">
        <v>40</v>
      </c>
      <c r="M539">
        <v>0</v>
      </c>
      <c r="N539">
        <v>0</v>
      </c>
      <c r="O539">
        <v>0</v>
      </c>
      <c r="P539" s="10" t="s">
        <v>44</v>
      </c>
      <c r="Q539" s="10">
        <f t="array" ref="Q539">IFERROR(SUMPRODUCT((N539:P539&gt;0)*(N539:P539))/3, 0)</f>
        <v>0</v>
      </c>
      <c r="R539" s="10"/>
      <c r="S539" s="11" t="str">
        <f t="shared" si="67"/>
        <v/>
      </c>
      <c r="T539" s="7"/>
      <c r="U539" s="7"/>
      <c r="V539" s="7"/>
      <c r="W539" s="7"/>
      <c r="X539" s="7"/>
      <c r="Y539" s="7"/>
      <c r="Z539" s="15"/>
      <c r="AA539" s="15"/>
      <c r="AB539" s="11" t="str">
        <f t="shared" si="68"/>
        <v/>
      </c>
      <c r="AC539" s="11"/>
      <c r="AD539" s="11"/>
      <c r="AE539" s="11"/>
      <c r="AF539" s="11"/>
      <c r="AG539" s="11"/>
      <c r="AH539" s="11"/>
      <c r="AI539" s="11"/>
      <c r="AJ539" s="15"/>
      <c r="AK539" s="15"/>
      <c r="AL539" s="14">
        <f t="shared" si="69"/>
        <v>3</v>
      </c>
      <c r="AM539" s="11">
        <f t="shared" si="70"/>
        <v>3</v>
      </c>
      <c r="AN539" s="14">
        <f t="shared" si="71"/>
        <v>3</v>
      </c>
      <c r="AO539" s="15"/>
      <c r="AP539" s="15"/>
      <c r="AQ539" s="15"/>
    </row>
    <row r="540" spans="1:43" ht="34" hidden="1" x14ac:dyDescent="0.2">
      <c r="A540" s="7">
        <v>539</v>
      </c>
      <c r="B540" s="19" t="s">
        <v>1137</v>
      </c>
      <c r="C540" s="19" t="s">
        <v>1138</v>
      </c>
      <c r="D540" s="8" t="s">
        <v>34</v>
      </c>
      <c r="E540" s="19" t="s">
        <v>269</v>
      </c>
      <c r="F540" s="8" t="s">
        <v>36</v>
      </c>
      <c r="G540" s="7" t="s">
        <v>59</v>
      </c>
      <c r="H540" s="9" t="s">
        <v>44</v>
      </c>
      <c r="I540" s="10"/>
      <c r="J540" s="10" t="s">
        <v>40</v>
      </c>
      <c r="K540" s="10" t="s">
        <v>40</v>
      </c>
      <c r="L540" s="10" t="s">
        <v>40</v>
      </c>
      <c r="M540">
        <v>0</v>
      </c>
      <c r="N540">
        <v>0</v>
      </c>
      <c r="O540">
        <v>0</v>
      </c>
      <c r="P540" s="10" t="s">
        <v>44</v>
      </c>
      <c r="Q540" s="10">
        <f t="array" ref="Q540">IFERROR(SUMPRODUCT((N540:P540&gt;0)*(N540:P540))/3, 0)</f>
        <v>0</v>
      </c>
      <c r="R540" s="10"/>
      <c r="S540" s="11" t="str">
        <f t="shared" si="67"/>
        <v/>
      </c>
      <c r="T540" s="7"/>
      <c r="U540" s="7"/>
      <c r="V540" s="7"/>
      <c r="W540" s="7"/>
      <c r="X540" s="7"/>
      <c r="Y540" s="7"/>
      <c r="Z540" s="15"/>
      <c r="AA540" s="15"/>
      <c r="AB540" s="11" t="str">
        <f t="shared" si="68"/>
        <v/>
      </c>
      <c r="AC540" s="11"/>
      <c r="AD540" s="11"/>
      <c r="AE540" s="11"/>
      <c r="AF540" s="11"/>
      <c r="AG540" s="11"/>
      <c r="AH540" s="11"/>
      <c r="AI540" s="11"/>
      <c r="AJ540" s="15"/>
      <c r="AK540" s="15"/>
      <c r="AL540" s="14">
        <f t="shared" si="69"/>
        <v>3</v>
      </c>
      <c r="AM540" s="11">
        <f t="shared" si="70"/>
        <v>3</v>
      </c>
      <c r="AN540" s="14">
        <f t="shared" si="71"/>
        <v>3</v>
      </c>
      <c r="AO540" s="15"/>
      <c r="AP540" s="15"/>
      <c r="AQ540" s="15"/>
    </row>
    <row r="541" spans="1:43" ht="34" hidden="1" x14ac:dyDescent="0.2">
      <c r="A541" s="7">
        <v>540</v>
      </c>
      <c r="B541" s="19" t="s">
        <v>1139</v>
      </c>
      <c r="C541" s="19" t="s">
        <v>1140</v>
      </c>
      <c r="D541" s="8" t="s">
        <v>34</v>
      </c>
      <c r="E541" s="19" t="s">
        <v>269</v>
      </c>
      <c r="F541" s="8" t="s">
        <v>36</v>
      </c>
      <c r="G541" s="7" t="s">
        <v>59</v>
      </c>
      <c r="H541" s="9" t="s">
        <v>44</v>
      </c>
      <c r="I541" s="10"/>
      <c r="J541" s="10" t="s">
        <v>40</v>
      </c>
      <c r="K541" s="10" t="s">
        <v>40</v>
      </c>
      <c r="L541" s="10" t="s">
        <v>40</v>
      </c>
      <c r="M541">
        <v>0</v>
      </c>
      <c r="N541">
        <v>0</v>
      </c>
      <c r="O541">
        <v>0</v>
      </c>
      <c r="P541" s="10" t="s">
        <v>44</v>
      </c>
      <c r="Q541" s="10">
        <f t="array" ref="Q541">IFERROR(SUMPRODUCT((N541:P541&gt;0)*(N541:P541))/3, 0)</f>
        <v>0</v>
      </c>
      <c r="R541" s="10"/>
      <c r="S541" s="11" t="str">
        <f t="shared" si="67"/>
        <v/>
      </c>
      <c r="T541" s="7"/>
      <c r="U541" s="7"/>
      <c r="V541" s="7"/>
      <c r="W541" s="7"/>
      <c r="X541" s="7"/>
      <c r="Y541" s="7"/>
      <c r="Z541" s="15"/>
      <c r="AA541" s="15"/>
      <c r="AB541" s="11" t="str">
        <f t="shared" si="68"/>
        <v/>
      </c>
      <c r="AC541" s="11"/>
      <c r="AD541" s="11"/>
      <c r="AE541" s="11"/>
      <c r="AF541" s="11"/>
      <c r="AG541" s="11"/>
      <c r="AH541" s="11"/>
      <c r="AI541" s="11"/>
      <c r="AJ541" s="15"/>
      <c r="AK541" s="15"/>
      <c r="AL541" s="14">
        <f t="shared" si="69"/>
        <v>3</v>
      </c>
      <c r="AM541" s="11">
        <f t="shared" si="70"/>
        <v>3</v>
      </c>
      <c r="AN541" s="14">
        <f t="shared" si="71"/>
        <v>3</v>
      </c>
      <c r="AO541" s="15"/>
      <c r="AP541" s="15"/>
      <c r="AQ541" s="15"/>
    </row>
    <row r="542" spans="1:43" ht="34" hidden="1" x14ac:dyDescent="0.2">
      <c r="A542" s="7">
        <v>541</v>
      </c>
      <c r="B542" s="19" t="s">
        <v>1141</v>
      </c>
      <c r="C542" s="19" t="s">
        <v>1142</v>
      </c>
      <c r="D542" s="8" t="s">
        <v>34</v>
      </c>
      <c r="E542" s="19" t="s">
        <v>269</v>
      </c>
      <c r="F542" s="8" t="s">
        <v>36</v>
      </c>
      <c r="G542" s="7" t="s">
        <v>59</v>
      </c>
      <c r="H542" s="9" t="s">
        <v>44</v>
      </c>
      <c r="I542" s="10"/>
      <c r="J542" s="10" t="s">
        <v>40</v>
      </c>
      <c r="K542" s="10" t="s">
        <v>40</v>
      </c>
      <c r="L542" s="10" t="s">
        <v>40</v>
      </c>
      <c r="M542">
        <v>0</v>
      </c>
      <c r="N542">
        <v>0</v>
      </c>
      <c r="O542">
        <v>0</v>
      </c>
      <c r="P542" s="10" t="s">
        <v>44</v>
      </c>
      <c r="Q542" s="10">
        <f t="array" ref="Q542">IFERROR(SUMPRODUCT((N542:P542&gt;0)*(N542:P542))/3, 0)</f>
        <v>0</v>
      </c>
      <c r="R542" s="10"/>
      <c r="S542" s="11" t="str">
        <f t="shared" si="67"/>
        <v/>
      </c>
      <c r="T542" s="7"/>
      <c r="U542" s="7"/>
      <c r="V542" s="7"/>
      <c r="W542" s="7"/>
      <c r="X542" s="7"/>
      <c r="Y542" s="7"/>
      <c r="Z542" s="15"/>
      <c r="AA542" s="15"/>
      <c r="AB542" s="11" t="str">
        <f t="shared" si="68"/>
        <v/>
      </c>
      <c r="AC542" s="11"/>
      <c r="AD542" s="11"/>
      <c r="AE542" s="11"/>
      <c r="AF542" s="11"/>
      <c r="AG542" s="11"/>
      <c r="AH542" s="11"/>
      <c r="AI542" s="11"/>
      <c r="AJ542" s="15"/>
      <c r="AK542" s="15"/>
      <c r="AL542" s="14">
        <f t="shared" si="69"/>
        <v>3</v>
      </c>
      <c r="AM542" s="11">
        <f t="shared" si="70"/>
        <v>3</v>
      </c>
      <c r="AN542" s="14">
        <f t="shared" si="71"/>
        <v>3</v>
      </c>
      <c r="AO542" s="15"/>
      <c r="AP542" s="15"/>
      <c r="AQ542" s="15"/>
    </row>
    <row r="543" spans="1:43" ht="51" hidden="1" x14ac:dyDescent="0.2">
      <c r="A543" s="7">
        <v>542</v>
      </c>
      <c r="B543" s="19" t="s">
        <v>1143</v>
      </c>
      <c r="C543" s="19" t="s">
        <v>1144</v>
      </c>
      <c r="D543" s="8" t="s">
        <v>34</v>
      </c>
      <c r="E543" s="19" t="s">
        <v>269</v>
      </c>
      <c r="F543" s="8" t="s">
        <v>36</v>
      </c>
      <c r="G543" s="7" t="s">
        <v>59</v>
      </c>
      <c r="H543" s="9" t="s">
        <v>44</v>
      </c>
      <c r="I543" s="10"/>
      <c r="J543" s="10" t="s">
        <v>40</v>
      </c>
      <c r="K543" s="10" t="s">
        <v>40</v>
      </c>
      <c r="L543" s="10" t="s">
        <v>40</v>
      </c>
      <c r="M543">
        <v>0</v>
      </c>
      <c r="N543">
        <v>0</v>
      </c>
      <c r="O543">
        <v>0</v>
      </c>
      <c r="P543" s="10" t="s">
        <v>44</v>
      </c>
      <c r="Q543" s="10">
        <f t="array" ref="Q543">IFERROR(SUMPRODUCT((N543:P543&gt;0)*(N543:P543))/3, 0)</f>
        <v>0</v>
      </c>
      <c r="R543" s="10"/>
      <c r="S543" s="11" t="str">
        <f t="shared" si="67"/>
        <v/>
      </c>
      <c r="T543" s="7"/>
      <c r="U543" s="7"/>
      <c r="V543" s="7"/>
      <c r="W543" s="7"/>
      <c r="X543" s="7"/>
      <c r="Y543" s="7"/>
      <c r="Z543" s="15"/>
      <c r="AA543" s="15"/>
      <c r="AB543" s="11" t="str">
        <f t="shared" si="68"/>
        <v/>
      </c>
      <c r="AC543" s="11"/>
      <c r="AD543" s="11"/>
      <c r="AE543" s="11"/>
      <c r="AF543" s="11"/>
      <c r="AG543" s="11"/>
      <c r="AH543" s="11"/>
      <c r="AI543" s="11"/>
      <c r="AJ543" s="15"/>
      <c r="AK543" s="15"/>
      <c r="AL543" s="14">
        <f t="shared" si="69"/>
        <v>3</v>
      </c>
      <c r="AM543" s="11">
        <f t="shared" si="70"/>
        <v>3</v>
      </c>
      <c r="AN543" s="14">
        <f t="shared" si="71"/>
        <v>3</v>
      </c>
      <c r="AO543" s="15"/>
      <c r="AP543" s="15"/>
      <c r="AQ543" s="15"/>
    </row>
    <row r="544" spans="1:43" ht="51" hidden="1" x14ac:dyDescent="0.2">
      <c r="A544" s="7">
        <v>543</v>
      </c>
      <c r="B544" s="19" t="s">
        <v>1145</v>
      </c>
      <c r="C544" s="19" t="s">
        <v>1146</v>
      </c>
      <c r="D544" s="8" t="s">
        <v>34</v>
      </c>
      <c r="E544" s="19" t="s">
        <v>269</v>
      </c>
      <c r="F544" s="8" t="s">
        <v>36</v>
      </c>
      <c r="G544" s="7" t="s">
        <v>59</v>
      </c>
      <c r="H544" s="9" t="s">
        <v>44</v>
      </c>
      <c r="I544" s="10"/>
      <c r="J544" s="10" t="s">
        <v>40</v>
      </c>
      <c r="K544" s="10" t="s">
        <v>40</v>
      </c>
      <c r="L544" s="10" t="s">
        <v>40</v>
      </c>
      <c r="M544">
        <v>0</v>
      </c>
      <c r="N544">
        <v>0</v>
      </c>
      <c r="O544">
        <v>0</v>
      </c>
      <c r="P544" s="10" t="s">
        <v>44</v>
      </c>
      <c r="Q544" s="10">
        <f t="array" ref="Q544">IFERROR(SUMPRODUCT((N544:P544&gt;0)*(N544:P544))/3, 0)</f>
        <v>0</v>
      </c>
      <c r="R544" s="10"/>
      <c r="S544" s="11" t="str">
        <f t="shared" si="67"/>
        <v/>
      </c>
      <c r="T544" s="7"/>
      <c r="U544" s="7"/>
      <c r="V544" s="7"/>
      <c r="W544" s="7"/>
      <c r="X544" s="7"/>
      <c r="Y544" s="7"/>
      <c r="Z544" s="15"/>
      <c r="AA544" s="15"/>
      <c r="AB544" s="11" t="str">
        <f t="shared" si="68"/>
        <v/>
      </c>
      <c r="AC544" s="11"/>
      <c r="AD544" s="11"/>
      <c r="AE544" s="11"/>
      <c r="AF544" s="11"/>
      <c r="AG544" s="11"/>
      <c r="AH544" s="11"/>
      <c r="AI544" s="11"/>
      <c r="AJ544" s="15"/>
      <c r="AK544" s="15"/>
      <c r="AL544" s="14">
        <f t="shared" si="69"/>
        <v>3</v>
      </c>
      <c r="AM544" s="11">
        <f t="shared" si="70"/>
        <v>3</v>
      </c>
      <c r="AN544" s="14">
        <f t="shared" si="71"/>
        <v>3</v>
      </c>
      <c r="AO544" s="15"/>
      <c r="AP544" s="15"/>
      <c r="AQ544" s="15"/>
    </row>
    <row r="545" spans="1:43" ht="34" hidden="1" x14ac:dyDescent="0.2">
      <c r="A545" s="7">
        <v>544</v>
      </c>
      <c r="B545" s="19" t="s">
        <v>1147</v>
      </c>
      <c r="C545" s="19" t="s">
        <v>1148</v>
      </c>
      <c r="D545" s="8" t="s">
        <v>34</v>
      </c>
      <c r="E545" s="19" t="s">
        <v>269</v>
      </c>
      <c r="F545" s="8" t="s">
        <v>36</v>
      </c>
      <c r="G545" s="7" t="s">
        <v>59</v>
      </c>
      <c r="H545" s="9" t="s">
        <v>44</v>
      </c>
      <c r="I545" s="10"/>
      <c r="J545" s="10" t="s">
        <v>40</v>
      </c>
      <c r="K545" s="10" t="s">
        <v>40</v>
      </c>
      <c r="L545" s="10" t="s">
        <v>40</v>
      </c>
      <c r="M545">
        <v>0</v>
      </c>
      <c r="N545">
        <v>0</v>
      </c>
      <c r="O545">
        <v>0</v>
      </c>
      <c r="P545" s="10" t="s">
        <v>44</v>
      </c>
      <c r="Q545" s="10">
        <f t="array" ref="Q545">IFERROR(SUMPRODUCT((N545:P545&gt;0)*(N545:P545))/3, 0)</f>
        <v>0</v>
      </c>
      <c r="R545" s="10"/>
      <c r="S545" s="11" t="str">
        <f t="shared" si="67"/>
        <v/>
      </c>
      <c r="T545" s="7"/>
      <c r="U545" s="7"/>
      <c r="V545" s="7"/>
      <c r="W545" s="7"/>
      <c r="X545" s="7"/>
      <c r="Y545" s="7"/>
      <c r="Z545" s="15"/>
      <c r="AA545" s="15"/>
      <c r="AB545" s="11" t="str">
        <f t="shared" si="68"/>
        <v/>
      </c>
      <c r="AC545" s="11"/>
      <c r="AD545" s="11"/>
      <c r="AE545" s="11"/>
      <c r="AF545" s="11"/>
      <c r="AG545" s="11"/>
      <c r="AH545" s="11"/>
      <c r="AI545" s="11"/>
      <c r="AJ545" s="15"/>
      <c r="AK545" s="15"/>
      <c r="AL545" s="14">
        <f t="shared" si="69"/>
        <v>3</v>
      </c>
      <c r="AM545" s="11">
        <f t="shared" si="70"/>
        <v>3</v>
      </c>
      <c r="AN545" s="14">
        <f t="shared" si="71"/>
        <v>3</v>
      </c>
      <c r="AO545" s="15"/>
      <c r="AP545" s="15"/>
      <c r="AQ545" s="15"/>
    </row>
    <row r="546" spans="1:43" ht="51" hidden="1" x14ac:dyDescent="0.2">
      <c r="A546" s="7">
        <v>545</v>
      </c>
      <c r="B546" s="19" t="s">
        <v>1149</v>
      </c>
      <c r="C546" s="19" t="s">
        <v>1150</v>
      </c>
      <c r="D546" s="8" t="s">
        <v>34</v>
      </c>
      <c r="E546" s="19" t="s">
        <v>269</v>
      </c>
      <c r="F546" s="8" t="s">
        <v>36</v>
      </c>
      <c r="G546" s="7" t="s">
        <v>59</v>
      </c>
      <c r="H546" s="9" t="s">
        <v>44</v>
      </c>
      <c r="I546" s="10"/>
      <c r="J546" s="10" t="s">
        <v>40</v>
      </c>
      <c r="K546" s="10" t="s">
        <v>40</v>
      </c>
      <c r="L546" s="10" t="s">
        <v>40</v>
      </c>
      <c r="M546">
        <v>0</v>
      </c>
      <c r="N546">
        <v>0</v>
      </c>
      <c r="O546">
        <v>0</v>
      </c>
      <c r="P546" s="10" t="s">
        <v>44</v>
      </c>
      <c r="Q546" s="10">
        <f t="array" ref="Q546">IFERROR(SUMPRODUCT((N546:P546&gt;0)*(N546:P546))/3, 0)</f>
        <v>0</v>
      </c>
      <c r="R546" s="10"/>
      <c r="S546" s="11" t="str">
        <f t="shared" si="67"/>
        <v/>
      </c>
      <c r="T546" s="7"/>
      <c r="U546" s="7"/>
      <c r="V546" s="7"/>
      <c r="W546" s="7"/>
      <c r="X546" s="7"/>
      <c r="Y546" s="7"/>
      <c r="Z546" s="15"/>
      <c r="AA546" s="15"/>
      <c r="AB546" s="11" t="str">
        <f t="shared" si="68"/>
        <v/>
      </c>
      <c r="AC546" s="11"/>
      <c r="AD546" s="11"/>
      <c r="AE546" s="11"/>
      <c r="AF546" s="11"/>
      <c r="AG546" s="11"/>
      <c r="AH546" s="11"/>
      <c r="AI546" s="11"/>
      <c r="AJ546" s="15"/>
      <c r="AK546" s="15"/>
      <c r="AL546" s="14">
        <f t="shared" si="69"/>
        <v>3</v>
      </c>
      <c r="AM546" s="11">
        <f t="shared" si="70"/>
        <v>3</v>
      </c>
      <c r="AN546" s="14">
        <f t="shared" si="71"/>
        <v>3</v>
      </c>
      <c r="AO546" s="15"/>
      <c r="AP546" s="15"/>
      <c r="AQ546" s="15"/>
    </row>
    <row r="547" spans="1:43" ht="34" hidden="1" x14ac:dyDescent="0.2">
      <c r="A547" s="7">
        <v>546</v>
      </c>
      <c r="B547" s="19" t="s">
        <v>1151</v>
      </c>
      <c r="C547" s="19" t="s">
        <v>1152</v>
      </c>
      <c r="D547" s="8" t="s">
        <v>34</v>
      </c>
      <c r="E547" s="19" t="s">
        <v>269</v>
      </c>
      <c r="F547" s="8" t="s">
        <v>36</v>
      </c>
      <c r="G547" s="7" t="s">
        <v>59</v>
      </c>
      <c r="H547" s="9" t="s">
        <v>44</v>
      </c>
      <c r="I547" s="10"/>
      <c r="J547" s="10" t="s">
        <v>40</v>
      </c>
      <c r="K547" s="10" t="s">
        <v>40</v>
      </c>
      <c r="L547" s="10" t="s">
        <v>40</v>
      </c>
      <c r="M547">
        <v>0</v>
      </c>
      <c r="N547">
        <v>0</v>
      </c>
      <c r="O547">
        <v>0</v>
      </c>
      <c r="P547" s="10" t="s">
        <v>44</v>
      </c>
      <c r="Q547" s="10">
        <f t="array" ref="Q547">IFERROR(SUMPRODUCT((N547:P547&gt;0)*(N547:P547))/3, 0)</f>
        <v>0</v>
      </c>
      <c r="R547" s="10"/>
      <c r="S547" s="11" t="str">
        <f t="shared" si="67"/>
        <v/>
      </c>
      <c r="T547" s="7"/>
      <c r="U547" s="7"/>
      <c r="V547" s="7"/>
      <c r="W547" s="7"/>
      <c r="X547" s="7"/>
      <c r="Y547" s="7"/>
      <c r="Z547" s="15"/>
      <c r="AA547" s="15"/>
      <c r="AB547" s="11" t="str">
        <f t="shared" si="68"/>
        <v/>
      </c>
      <c r="AC547" s="11"/>
      <c r="AD547" s="11"/>
      <c r="AE547" s="11"/>
      <c r="AF547" s="11"/>
      <c r="AG547" s="11"/>
      <c r="AH547" s="11"/>
      <c r="AI547" s="11"/>
      <c r="AJ547" s="15"/>
      <c r="AK547" s="15"/>
      <c r="AL547" s="14">
        <f t="shared" si="69"/>
        <v>3</v>
      </c>
      <c r="AM547" s="11">
        <f t="shared" si="70"/>
        <v>3</v>
      </c>
      <c r="AN547" s="14">
        <f t="shared" si="71"/>
        <v>3</v>
      </c>
      <c r="AO547" s="15"/>
      <c r="AP547" s="15"/>
      <c r="AQ547" s="15"/>
    </row>
    <row r="548" spans="1:43" ht="34" hidden="1" x14ac:dyDescent="0.2">
      <c r="A548" s="7">
        <v>547</v>
      </c>
      <c r="B548" s="19" t="s">
        <v>1153</v>
      </c>
      <c r="C548" s="19" t="s">
        <v>1154</v>
      </c>
      <c r="D548" s="8" t="s">
        <v>34</v>
      </c>
      <c r="E548" s="19" t="s">
        <v>269</v>
      </c>
      <c r="F548" s="8" t="s">
        <v>36</v>
      </c>
      <c r="G548" s="7" t="s">
        <v>59</v>
      </c>
      <c r="H548" s="9" t="s">
        <v>44</v>
      </c>
      <c r="I548" s="10"/>
      <c r="J548" s="10" t="s">
        <v>40</v>
      </c>
      <c r="K548" s="10" t="s">
        <v>40</v>
      </c>
      <c r="L548" s="10" t="s">
        <v>40</v>
      </c>
      <c r="M548">
        <v>0</v>
      </c>
      <c r="N548">
        <v>0</v>
      </c>
      <c r="O548">
        <v>0</v>
      </c>
      <c r="P548" s="10" t="s">
        <v>44</v>
      </c>
      <c r="Q548" s="10">
        <f t="array" ref="Q548">IFERROR(SUMPRODUCT((N548:P548&gt;0)*(N548:P548))/3, 0)</f>
        <v>0</v>
      </c>
      <c r="R548" s="10"/>
      <c r="S548" s="11" t="str">
        <f t="shared" si="67"/>
        <v/>
      </c>
      <c r="T548" s="7"/>
      <c r="U548" s="7"/>
      <c r="V548" s="7"/>
      <c r="W548" s="7"/>
      <c r="X548" s="7"/>
      <c r="Y548" s="7"/>
      <c r="Z548" s="15"/>
      <c r="AA548" s="15"/>
      <c r="AB548" s="11" t="str">
        <f t="shared" si="68"/>
        <v/>
      </c>
      <c r="AC548" s="11"/>
      <c r="AD548" s="11"/>
      <c r="AE548" s="11"/>
      <c r="AF548" s="11"/>
      <c r="AG548" s="11"/>
      <c r="AH548" s="11"/>
      <c r="AI548" s="11"/>
      <c r="AJ548" s="15"/>
      <c r="AK548" s="15"/>
      <c r="AL548" s="14">
        <f t="shared" si="69"/>
        <v>3</v>
      </c>
      <c r="AM548" s="11">
        <f t="shared" si="70"/>
        <v>3</v>
      </c>
      <c r="AN548" s="14">
        <f t="shared" si="71"/>
        <v>3</v>
      </c>
      <c r="AO548" s="15"/>
      <c r="AP548" s="15"/>
      <c r="AQ548" s="15"/>
    </row>
    <row r="549" spans="1:43" ht="34" hidden="1" x14ac:dyDescent="0.2">
      <c r="A549" s="7">
        <v>548</v>
      </c>
      <c r="B549" s="19" t="s">
        <v>1155</v>
      </c>
      <c r="C549" s="19" t="s">
        <v>1156</v>
      </c>
      <c r="D549" s="8" t="s">
        <v>34</v>
      </c>
      <c r="E549" s="19" t="s">
        <v>269</v>
      </c>
      <c r="F549" s="8" t="s">
        <v>36</v>
      </c>
      <c r="G549" s="7" t="s">
        <v>59</v>
      </c>
      <c r="H549" s="9" t="s">
        <v>44</v>
      </c>
      <c r="I549" s="10"/>
      <c r="J549" s="10" t="s">
        <v>40</v>
      </c>
      <c r="K549" s="10" t="s">
        <v>40</v>
      </c>
      <c r="L549" s="10" t="s">
        <v>40</v>
      </c>
      <c r="M549">
        <v>0</v>
      </c>
      <c r="N549">
        <v>0</v>
      </c>
      <c r="O549">
        <v>0</v>
      </c>
      <c r="P549" s="10" t="s">
        <v>44</v>
      </c>
      <c r="Q549" s="10">
        <f t="array" ref="Q549">IFERROR(SUMPRODUCT((N549:P549&gt;0)*(N549:P549))/3, 0)</f>
        <v>0</v>
      </c>
      <c r="R549" s="10"/>
      <c r="S549" s="11" t="str">
        <f t="shared" si="67"/>
        <v/>
      </c>
      <c r="T549" s="7"/>
      <c r="U549" s="7"/>
      <c r="V549" s="7"/>
      <c r="W549" s="7"/>
      <c r="X549" s="7"/>
      <c r="Y549" s="7"/>
      <c r="Z549" s="15"/>
      <c r="AA549" s="15"/>
      <c r="AB549" s="11" t="str">
        <f t="shared" si="68"/>
        <v/>
      </c>
      <c r="AC549" s="11"/>
      <c r="AD549" s="11"/>
      <c r="AE549" s="11"/>
      <c r="AF549" s="11"/>
      <c r="AG549" s="11"/>
      <c r="AH549" s="11"/>
      <c r="AI549" s="11"/>
      <c r="AJ549" s="15"/>
      <c r="AK549" s="15"/>
      <c r="AL549" s="14">
        <f t="shared" si="69"/>
        <v>3</v>
      </c>
      <c r="AM549" s="11">
        <f t="shared" si="70"/>
        <v>3</v>
      </c>
      <c r="AN549" s="14">
        <f t="shared" si="71"/>
        <v>3</v>
      </c>
      <c r="AO549" s="15"/>
      <c r="AP549" s="15"/>
      <c r="AQ549" s="15"/>
    </row>
    <row r="550" spans="1:43" ht="34" hidden="1" x14ac:dyDescent="0.2">
      <c r="A550" s="7">
        <v>549</v>
      </c>
      <c r="B550" s="19" t="s">
        <v>1157</v>
      </c>
      <c r="C550" s="19" t="s">
        <v>1158</v>
      </c>
      <c r="D550" s="8" t="s">
        <v>34</v>
      </c>
      <c r="E550" s="19" t="s">
        <v>269</v>
      </c>
      <c r="F550" s="8" t="s">
        <v>36</v>
      </c>
      <c r="G550" s="7" t="s">
        <v>59</v>
      </c>
      <c r="H550" s="9" t="s">
        <v>44</v>
      </c>
      <c r="I550" s="10"/>
      <c r="J550" s="10" t="s">
        <v>40</v>
      </c>
      <c r="K550" s="10" t="s">
        <v>40</v>
      </c>
      <c r="L550" s="10" t="s">
        <v>40</v>
      </c>
      <c r="M550">
        <v>0</v>
      </c>
      <c r="N550">
        <v>0</v>
      </c>
      <c r="O550">
        <v>0</v>
      </c>
      <c r="P550" s="10" t="s">
        <v>44</v>
      </c>
      <c r="Q550" s="10">
        <f t="array" ref="Q550">IFERROR(SUMPRODUCT((N550:P550&gt;0)*(N550:P550))/3, 0)</f>
        <v>0</v>
      </c>
      <c r="R550" s="10"/>
      <c r="S550" s="11" t="str">
        <f t="shared" si="67"/>
        <v/>
      </c>
      <c r="T550" s="7"/>
      <c r="U550" s="7"/>
      <c r="V550" s="7"/>
      <c r="W550" s="7"/>
      <c r="X550" s="7"/>
      <c r="Y550" s="7"/>
      <c r="Z550" s="15"/>
      <c r="AA550" s="15"/>
      <c r="AB550" s="11" t="str">
        <f t="shared" si="68"/>
        <v/>
      </c>
      <c r="AC550" s="11"/>
      <c r="AD550" s="11"/>
      <c r="AE550" s="11"/>
      <c r="AF550" s="11"/>
      <c r="AG550" s="11"/>
      <c r="AH550" s="11"/>
      <c r="AI550" s="11"/>
      <c r="AJ550" s="15"/>
      <c r="AK550" s="15"/>
      <c r="AL550" s="14">
        <f t="shared" si="69"/>
        <v>3</v>
      </c>
      <c r="AM550" s="11">
        <f t="shared" si="70"/>
        <v>3</v>
      </c>
      <c r="AN550" s="14">
        <f t="shared" si="71"/>
        <v>3</v>
      </c>
      <c r="AO550" s="15"/>
      <c r="AP550" s="15"/>
      <c r="AQ550" s="15"/>
    </row>
    <row r="551" spans="1:43" ht="51" hidden="1" x14ac:dyDescent="0.2">
      <c r="A551" s="7">
        <v>550</v>
      </c>
      <c r="B551" s="19" t="s">
        <v>1159</v>
      </c>
      <c r="C551" s="19" t="s">
        <v>1160</v>
      </c>
      <c r="D551" s="8" t="s">
        <v>34</v>
      </c>
      <c r="E551" s="19" t="s">
        <v>269</v>
      </c>
      <c r="F551" s="8" t="s">
        <v>36</v>
      </c>
      <c r="G551" s="7" t="s">
        <v>59</v>
      </c>
      <c r="H551" s="9" t="s">
        <v>44</v>
      </c>
      <c r="I551" s="10"/>
      <c r="J551" s="10" t="s">
        <v>40</v>
      </c>
      <c r="K551" s="10" t="s">
        <v>40</v>
      </c>
      <c r="L551" s="10" t="s">
        <v>40</v>
      </c>
      <c r="M551">
        <v>0</v>
      </c>
      <c r="N551">
        <v>0</v>
      </c>
      <c r="O551">
        <v>0</v>
      </c>
      <c r="P551" s="10" t="s">
        <v>44</v>
      </c>
      <c r="Q551" s="10">
        <f t="array" ref="Q551">IFERROR(SUMPRODUCT((N551:P551&gt;0)*(N551:P551))/3, 0)</f>
        <v>0</v>
      </c>
      <c r="R551" s="10"/>
      <c r="S551" s="11" t="str">
        <f t="shared" si="67"/>
        <v/>
      </c>
      <c r="T551" s="7"/>
      <c r="U551" s="7"/>
      <c r="V551" s="7"/>
      <c r="W551" s="7"/>
      <c r="X551" s="7"/>
      <c r="Y551" s="7"/>
      <c r="Z551" s="15"/>
      <c r="AA551" s="15"/>
      <c r="AB551" s="11" t="str">
        <f t="shared" si="68"/>
        <v/>
      </c>
      <c r="AC551" s="11"/>
      <c r="AD551" s="11"/>
      <c r="AE551" s="11"/>
      <c r="AF551" s="11"/>
      <c r="AG551" s="11"/>
      <c r="AH551" s="11"/>
      <c r="AI551" s="11"/>
      <c r="AJ551" s="15"/>
      <c r="AK551" s="15"/>
      <c r="AL551" s="14">
        <f t="shared" si="69"/>
        <v>3</v>
      </c>
      <c r="AM551" s="11">
        <f t="shared" si="70"/>
        <v>3</v>
      </c>
      <c r="AN551" s="14">
        <f t="shared" si="71"/>
        <v>3</v>
      </c>
      <c r="AO551" s="15"/>
      <c r="AP551" s="15"/>
      <c r="AQ551" s="15"/>
    </row>
    <row r="552" spans="1:43" ht="34" hidden="1" x14ac:dyDescent="0.2">
      <c r="A552" s="7">
        <v>551</v>
      </c>
      <c r="B552" s="19" t="s">
        <v>1161</v>
      </c>
      <c r="C552" s="19" t="s">
        <v>1162</v>
      </c>
      <c r="D552" s="8" t="s">
        <v>34</v>
      </c>
      <c r="E552" s="19" t="s">
        <v>269</v>
      </c>
      <c r="F552" s="8" t="s">
        <v>36</v>
      </c>
      <c r="G552" s="7" t="s">
        <v>59</v>
      </c>
      <c r="H552" s="9" t="s">
        <v>44</v>
      </c>
      <c r="I552" s="10"/>
      <c r="J552" s="10" t="s">
        <v>40</v>
      </c>
      <c r="K552" s="10" t="s">
        <v>40</v>
      </c>
      <c r="L552" s="10" t="s">
        <v>40</v>
      </c>
      <c r="M552">
        <v>0</v>
      </c>
      <c r="N552">
        <v>0</v>
      </c>
      <c r="O552">
        <v>0</v>
      </c>
      <c r="P552" s="10" t="s">
        <v>44</v>
      </c>
      <c r="Q552" s="10">
        <f t="array" ref="Q552">IFERROR(SUMPRODUCT((N552:P552&gt;0)*(N552:P552))/3, 0)</f>
        <v>0</v>
      </c>
      <c r="R552" s="10"/>
      <c r="S552" s="11" t="str">
        <f t="shared" si="67"/>
        <v/>
      </c>
      <c r="T552" s="7"/>
      <c r="U552" s="7"/>
      <c r="V552" s="7"/>
      <c r="W552" s="7"/>
      <c r="X552" s="7"/>
      <c r="Y552" s="7"/>
      <c r="Z552" s="15"/>
      <c r="AA552" s="15"/>
      <c r="AB552" s="11" t="str">
        <f t="shared" si="68"/>
        <v/>
      </c>
      <c r="AC552" s="11"/>
      <c r="AD552" s="11"/>
      <c r="AE552" s="11"/>
      <c r="AF552" s="11"/>
      <c r="AG552" s="11"/>
      <c r="AH552" s="11"/>
      <c r="AI552" s="11"/>
      <c r="AJ552" s="15"/>
      <c r="AK552" s="15"/>
      <c r="AL552" s="14">
        <f t="shared" si="69"/>
        <v>3</v>
      </c>
      <c r="AM552" s="11">
        <f t="shared" si="70"/>
        <v>3</v>
      </c>
      <c r="AN552" s="14">
        <f t="shared" si="71"/>
        <v>3</v>
      </c>
      <c r="AO552" s="15"/>
      <c r="AP552" s="15"/>
      <c r="AQ552" s="15"/>
    </row>
    <row r="553" spans="1:43" ht="34" hidden="1" x14ac:dyDescent="0.2">
      <c r="A553" s="7">
        <v>552</v>
      </c>
      <c r="B553" s="19" t="s">
        <v>1163</v>
      </c>
      <c r="C553" s="19" t="s">
        <v>1164</v>
      </c>
      <c r="D553" s="8" t="s">
        <v>34</v>
      </c>
      <c r="E553" s="19" t="s">
        <v>269</v>
      </c>
      <c r="F553" s="8" t="s">
        <v>36</v>
      </c>
      <c r="G553" s="7" t="s">
        <v>59</v>
      </c>
      <c r="H553" s="9" t="s">
        <v>44</v>
      </c>
      <c r="I553" s="10"/>
      <c r="J553" s="10" t="s">
        <v>40</v>
      </c>
      <c r="K553" s="10" t="s">
        <v>40</v>
      </c>
      <c r="L553" s="10" t="s">
        <v>40</v>
      </c>
      <c r="M553">
        <v>0</v>
      </c>
      <c r="N553">
        <v>0</v>
      </c>
      <c r="O553">
        <v>0</v>
      </c>
      <c r="P553" s="10" t="s">
        <v>44</v>
      </c>
      <c r="Q553" s="10">
        <f t="array" ref="Q553">IFERROR(SUMPRODUCT((N553:P553&gt;0)*(N553:P553))/3, 0)</f>
        <v>0</v>
      </c>
      <c r="R553" s="10"/>
      <c r="S553" s="11" t="str">
        <f t="shared" si="67"/>
        <v/>
      </c>
      <c r="T553" s="7"/>
      <c r="U553" s="7"/>
      <c r="V553" s="7"/>
      <c r="W553" s="7"/>
      <c r="X553" s="7"/>
      <c r="Y553" s="7"/>
      <c r="Z553" s="15"/>
      <c r="AA553" s="15"/>
      <c r="AB553" s="11" t="str">
        <f t="shared" si="68"/>
        <v/>
      </c>
      <c r="AC553" s="11"/>
      <c r="AD553" s="11"/>
      <c r="AE553" s="11"/>
      <c r="AF553" s="11"/>
      <c r="AG553" s="11"/>
      <c r="AH553" s="11"/>
      <c r="AI553" s="11"/>
      <c r="AJ553" s="15"/>
      <c r="AK553" s="15"/>
      <c r="AL553" s="14">
        <f t="shared" si="69"/>
        <v>3</v>
      </c>
      <c r="AM553" s="11">
        <f t="shared" si="70"/>
        <v>3</v>
      </c>
      <c r="AN553" s="14">
        <f t="shared" si="71"/>
        <v>3</v>
      </c>
      <c r="AO553" s="15"/>
      <c r="AP553" s="15"/>
      <c r="AQ553" s="15"/>
    </row>
    <row r="554" spans="1:43" ht="34" hidden="1" x14ac:dyDescent="0.2">
      <c r="A554" s="7">
        <v>553</v>
      </c>
      <c r="B554" s="19" t="s">
        <v>1165</v>
      </c>
      <c r="C554" s="19" t="s">
        <v>1166</v>
      </c>
      <c r="D554" s="8" t="s">
        <v>34</v>
      </c>
      <c r="E554" s="19" t="s">
        <v>269</v>
      </c>
      <c r="F554" s="8" t="s">
        <v>36</v>
      </c>
      <c r="G554" s="7" t="s">
        <v>59</v>
      </c>
      <c r="H554" s="9" t="s">
        <v>44</v>
      </c>
      <c r="I554" s="10"/>
      <c r="J554" s="10" t="s">
        <v>40</v>
      </c>
      <c r="K554" s="10" t="s">
        <v>40</v>
      </c>
      <c r="L554" s="10" t="s">
        <v>40</v>
      </c>
      <c r="M554">
        <v>0</v>
      </c>
      <c r="N554">
        <v>0</v>
      </c>
      <c r="O554">
        <v>0</v>
      </c>
      <c r="P554" s="10" t="s">
        <v>44</v>
      </c>
      <c r="Q554" s="10">
        <f t="array" ref="Q554">IFERROR(SUMPRODUCT((N554:P554&gt;0)*(N554:P554))/3, 0)</f>
        <v>0</v>
      </c>
      <c r="R554" s="10"/>
      <c r="S554" s="11" t="str">
        <f t="shared" si="67"/>
        <v/>
      </c>
      <c r="T554" s="7"/>
      <c r="U554" s="7"/>
      <c r="V554" s="7"/>
      <c r="W554" s="7"/>
      <c r="X554" s="7"/>
      <c r="Y554" s="7"/>
      <c r="Z554" s="15"/>
      <c r="AA554" s="15"/>
      <c r="AB554" s="11" t="str">
        <f t="shared" si="68"/>
        <v/>
      </c>
      <c r="AC554" s="11"/>
      <c r="AD554" s="11"/>
      <c r="AE554" s="11"/>
      <c r="AF554" s="11"/>
      <c r="AG554" s="11"/>
      <c r="AH554" s="11"/>
      <c r="AI554" s="11"/>
      <c r="AJ554" s="15"/>
      <c r="AK554" s="15"/>
      <c r="AL554" s="14">
        <f t="shared" si="69"/>
        <v>3</v>
      </c>
      <c r="AM554" s="11">
        <f t="shared" si="70"/>
        <v>3</v>
      </c>
      <c r="AN554" s="14">
        <f t="shared" si="71"/>
        <v>3</v>
      </c>
      <c r="AO554" s="15"/>
      <c r="AP554" s="15"/>
      <c r="AQ554" s="15"/>
    </row>
    <row r="555" spans="1:43" ht="34" hidden="1" x14ac:dyDescent="0.2">
      <c r="A555" s="7">
        <v>554</v>
      </c>
      <c r="B555" s="19" t="s">
        <v>1167</v>
      </c>
      <c r="C555" s="19" t="s">
        <v>1168</v>
      </c>
      <c r="D555" s="8" t="s">
        <v>34</v>
      </c>
      <c r="E555" s="19" t="s">
        <v>269</v>
      </c>
      <c r="F555" s="8" t="s">
        <v>36</v>
      </c>
      <c r="G555" s="7" t="s">
        <v>59</v>
      </c>
      <c r="H555" s="9" t="s">
        <v>44</v>
      </c>
      <c r="I555" s="10"/>
      <c r="J555" s="10" t="s">
        <v>40</v>
      </c>
      <c r="K555" s="10" t="s">
        <v>40</v>
      </c>
      <c r="L555" s="10" t="s">
        <v>40</v>
      </c>
      <c r="M555">
        <v>0</v>
      </c>
      <c r="N555">
        <v>0</v>
      </c>
      <c r="O555">
        <v>0</v>
      </c>
      <c r="P555" s="10" t="s">
        <v>44</v>
      </c>
      <c r="Q555" s="10">
        <f t="array" ref="Q555">IFERROR(SUMPRODUCT((N555:P555&gt;0)*(N555:P555))/3, 0)</f>
        <v>0</v>
      </c>
      <c r="R555" s="10"/>
      <c r="S555" s="11" t="str">
        <f t="shared" si="67"/>
        <v/>
      </c>
      <c r="T555" s="7"/>
      <c r="U555" s="7"/>
      <c r="V555" s="7"/>
      <c r="W555" s="7"/>
      <c r="X555" s="7"/>
      <c r="Y555" s="7"/>
      <c r="Z555" s="15"/>
      <c r="AA555" s="15"/>
      <c r="AB555" s="11" t="str">
        <f t="shared" si="68"/>
        <v/>
      </c>
      <c r="AC555" s="11"/>
      <c r="AD555" s="11"/>
      <c r="AE555" s="11"/>
      <c r="AF555" s="11"/>
      <c r="AG555" s="11"/>
      <c r="AH555" s="11"/>
      <c r="AI555" s="11"/>
      <c r="AJ555" s="15"/>
      <c r="AK555" s="15"/>
      <c r="AL555" s="14">
        <f t="shared" si="69"/>
        <v>3</v>
      </c>
      <c r="AM555" s="11">
        <f t="shared" si="70"/>
        <v>3</v>
      </c>
      <c r="AN555" s="14">
        <f t="shared" si="71"/>
        <v>3</v>
      </c>
      <c r="AO555" s="15"/>
      <c r="AP555" s="15"/>
      <c r="AQ555" s="15"/>
    </row>
    <row r="556" spans="1:43" ht="51" hidden="1" x14ac:dyDescent="0.2">
      <c r="A556" s="7">
        <v>555</v>
      </c>
      <c r="B556" s="19" t="s">
        <v>1169</v>
      </c>
      <c r="C556" s="19" t="s">
        <v>1170</v>
      </c>
      <c r="D556" s="8" t="s">
        <v>34</v>
      </c>
      <c r="E556" s="19" t="s">
        <v>269</v>
      </c>
      <c r="F556" s="8" t="s">
        <v>36</v>
      </c>
      <c r="G556" s="7" t="s">
        <v>59</v>
      </c>
      <c r="H556" s="9" t="s">
        <v>44</v>
      </c>
      <c r="I556" s="10"/>
      <c r="J556" s="10" t="s">
        <v>40</v>
      </c>
      <c r="K556" s="10" t="s">
        <v>40</v>
      </c>
      <c r="L556" s="10" t="s">
        <v>40</v>
      </c>
      <c r="M556">
        <v>0</v>
      </c>
      <c r="N556">
        <v>0</v>
      </c>
      <c r="O556">
        <v>0</v>
      </c>
      <c r="P556" s="10" t="s">
        <v>44</v>
      </c>
      <c r="Q556" s="10">
        <f t="array" ref="Q556">IFERROR(SUMPRODUCT((N556:P556&gt;0)*(N556:P556))/3, 0)</f>
        <v>0</v>
      </c>
      <c r="R556" s="10"/>
      <c r="S556" s="11" t="str">
        <f t="shared" si="67"/>
        <v/>
      </c>
      <c r="T556" s="7"/>
      <c r="U556" s="7"/>
      <c r="V556" s="7"/>
      <c r="W556" s="7"/>
      <c r="X556" s="7"/>
      <c r="Y556" s="7"/>
      <c r="Z556" s="15"/>
      <c r="AA556" s="15"/>
      <c r="AB556" s="11" t="str">
        <f t="shared" si="68"/>
        <v/>
      </c>
      <c r="AC556" s="11"/>
      <c r="AD556" s="11"/>
      <c r="AE556" s="11"/>
      <c r="AF556" s="11"/>
      <c r="AG556" s="11"/>
      <c r="AH556" s="11"/>
      <c r="AI556" s="11"/>
      <c r="AJ556" s="15"/>
      <c r="AK556" s="15"/>
      <c r="AL556" s="14">
        <f t="shared" si="69"/>
        <v>3</v>
      </c>
      <c r="AM556" s="11">
        <f t="shared" si="70"/>
        <v>3</v>
      </c>
      <c r="AN556" s="14">
        <f t="shared" si="71"/>
        <v>3</v>
      </c>
      <c r="AO556" s="15"/>
      <c r="AP556" s="15"/>
      <c r="AQ556" s="15"/>
    </row>
    <row r="557" spans="1:43" ht="34" hidden="1" x14ac:dyDescent="0.2">
      <c r="A557" s="7">
        <v>556</v>
      </c>
      <c r="B557" s="19" t="s">
        <v>1171</v>
      </c>
      <c r="C557" s="19" t="s">
        <v>1172</v>
      </c>
      <c r="D557" s="8" t="s">
        <v>34</v>
      </c>
      <c r="E557" s="19" t="s">
        <v>269</v>
      </c>
      <c r="F557" s="8" t="s">
        <v>36</v>
      </c>
      <c r="G557" s="7" t="s">
        <v>59</v>
      </c>
      <c r="H557" s="9" t="s">
        <v>44</v>
      </c>
      <c r="I557" s="10"/>
      <c r="J557" s="10" t="s">
        <v>40</v>
      </c>
      <c r="K557" s="10" t="s">
        <v>40</v>
      </c>
      <c r="L557" s="10" t="s">
        <v>40</v>
      </c>
      <c r="M557">
        <v>0</v>
      </c>
      <c r="N557">
        <v>0</v>
      </c>
      <c r="O557">
        <v>0</v>
      </c>
      <c r="P557" s="10" t="s">
        <v>44</v>
      </c>
      <c r="Q557" s="10">
        <f t="array" ref="Q557">IFERROR(SUMPRODUCT((N557:P557&gt;0)*(N557:P557))/3, 0)</f>
        <v>0</v>
      </c>
      <c r="R557" s="10"/>
      <c r="S557" s="11" t="str">
        <f t="shared" si="67"/>
        <v/>
      </c>
      <c r="T557" s="7"/>
      <c r="U557" s="7"/>
      <c r="V557" s="7"/>
      <c r="W557" s="7"/>
      <c r="X557" s="7"/>
      <c r="Y557" s="7"/>
      <c r="Z557" s="15"/>
      <c r="AA557" s="15"/>
      <c r="AB557" s="11" t="str">
        <f t="shared" si="68"/>
        <v/>
      </c>
      <c r="AC557" s="11"/>
      <c r="AD557" s="11"/>
      <c r="AE557" s="11"/>
      <c r="AF557" s="11"/>
      <c r="AG557" s="11"/>
      <c r="AH557" s="11"/>
      <c r="AI557" s="11"/>
      <c r="AJ557" s="15"/>
      <c r="AK557" s="15"/>
      <c r="AL557" s="14">
        <f t="shared" si="69"/>
        <v>3</v>
      </c>
      <c r="AM557" s="11">
        <f t="shared" si="70"/>
        <v>3</v>
      </c>
      <c r="AN557" s="14">
        <f t="shared" si="71"/>
        <v>3</v>
      </c>
      <c r="AO557" s="15"/>
      <c r="AP557" s="15"/>
      <c r="AQ557" s="15"/>
    </row>
    <row r="558" spans="1:43" ht="34" hidden="1" x14ac:dyDescent="0.2">
      <c r="A558" s="7">
        <v>557</v>
      </c>
      <c r="B558" s="19" t="s">
        <v>1173</v>
      </c>
      <c r="C558" s="19" t="s">
        <v>1174</v>
      </c>
      <c r="D558" s="8" t="s">
        <v>34</v>
      </c>
      <c r="E558" s="19" t="s">
        <v>269</v>
      </c>
      <c r="F558" s="8" t="s">
        <v>36</v>
      </c>
      <c r="G558" s="7" t="s">
        <v>59</v>
      </c>
      <c r="H558" s="9" t="s">
        <v>44</v>
      </c>
      <c r="I558" s="10"/>
      <c r="J558" s="10" t="s">
        <v>40</v>
      </c>
      <c r="K558" s="10" t="s">
        <v>40</v>
      </c>
      <c r="L558" s="10" t="s">
        <v>40</v>
      </c>
      <c r="M558">
        <v>0</v>
      </c>
      <c r="N558">
        <v>0</v>
      </c>
      <c r="O558">
        <v>0</v>
      </c>
      <c r="P558" s="10" t="s">
        <v>44</v>
      </c>
      <c r="Q558" s="10">
        <f t="array" ref="Q558">IFERROR(SUMPRODUCT((N558:P558&gt;0)*(N558:P558))/3, 0)</f>
        <v>0</v>
      </c>
      <c r="R558" s="10"/>
      <c r="S558" s="11" t="str">
        <f t="shared" si="67"/>
        <v/>
      </c>
      <c r="T558" s="7"/>
      <c r="U558" s="7"/>
      <c r="V558" s="7"/>
      <c r="W558" s="7"/>
      <c r="X558" s="7"/>
      <c r="Y558" s="7"/>
      <c r="Z558" s="15"/>
      <c r="AA558" s="15"/>
      <c r="AB558" s="11" t="str">
        <f t="shared" si="68"/>
        <v/>
      </c>
      <c r="AC558" s="11"/>
      <c r="AD558" s="11"/>
      <c r="AE558" s="11"/>
      <c r="AF558" s="11"/>
      <c r="AG558" s="11"/>
      <c r="AH558" s="11"/>
      <c r="AI558" s="11"/>
      <c r="AJ558" s="15"/>
      <c r="AK558" s="15"/>
      <c r="AL558" s="14">
        <f t="shared" si="69"/>
        <v>3</v>
      </c>
      <c r="AM558" s="11">
        <f t="shared" si="70"/>
        <v>3</v>
      </c>
      <c r="AN558" s="14">
        <f t="shared" si="71"/>
        <v>3</v>
      </c>
      <c r="AO558" s="15"/>
      <c r="AP558" s="15"/>
      <c r="AQ558" s="15"/>
    </row>
    <row r="559" spans="1:43" ht="34" hidden="1" x14ac:dyDescent="0.2">
      <c r="A559" s="7">
        <v>558</v>
      </c>
      <c r="B559" s="19" t="s">
        <v>1175</v>
      </c>
      <c r="C559" s="19" t="s">
        <v>1176</v>
      </c>
      <c r="D559" s="8" t="s">
        <v>34</v>
      </c>
      <c r="E559" s="19" t="s">
        <v>269</v>
      </c>
      <c r="F559" s="8" t="s">
        <v>36</v>
      </c>
      <c r="G559" s="7" t="s">
        <v>59</v>
      </c>
      <c r="H559" s="9" t="s">
        <v>44</v>
      </c>
      <c r="I559" s="10"/>
      <c r="J559" s="10" t="s">
        <v>40</v>
      </c>
      <c r="K559" s="10" t="s">
        <v>40</v>
      </c>
      <c r="L559" s="10" t="s">
        <v>40</v>
      </c>
      <c r="M559">
        <v>0</v>
      </c>
      <c r="N559">
        <v>0</v>
      </c>
      <c r="O559">
        <v>0</v>
      </c>
      <c r="P559" s="10" t="s">
        <v>44</v>
      </c>
      <c r="Q559" s="10">
        <f t="array" ref="Q559">IFERROR(SUMPRODUCT((N559:P559&gt;0)*(N559:P559))/3, 0)</f>
        <v>0</v>
      </c>
      <c r="R559" s="10"/>
      <c r="S559" s="11" t="str">
        <f t="shared" si="67"/>
        <v/>
      </c>
      <c r="T559" s="7"/>
      <c r="U559" s="7"/>
      <c r="V559" s="7"/>
      <c r="W559" s="7"/>
      <c r="X559" s="7"/>
      <c r="Y559" s="7"/>
      <c r="Z559" s="15"/>
      <c r="AA559" s="15"/>
      <c r="AB559" s="11" t="str">
        <f t="shared" si="68"/>
        <v/>
      </c>
      <c r="AC559" s="11"/>
      <c r="AD559" s="11"/>
      <c r="AE559" s="11"/>
      <c r="AF559" s="11"/>
      <c r="AG559" s="11"/>
      <c r="AH559" s="11"/>
      <c r="AI559" s="11"/>
      <c r="AJ559" s="15"/>
      <c r="AK559" s="15"/>
      <c r="AL559" s="14">
        <f t="shared" si="69"/>
        <v>3</v>
      </c>
      <c r="AM559" s="11">
        <f t="shared" si="70"/>
        <v>3</v>
      </c>
      <c r="AN559" s="14">
        <f t="shared" si="71"/>
        <v>3</v>
      </c>
      <c r="AO559" s="15"/>
      <c r="AP559" s="15"/>
      <c r="AQ559" s="15"/>
    </row>
    <row r="560" spans="1:43" ht="34" hidden="1" x14ac:dyDescent="0.2">
      <c r="A560" s="7">
        <v>559</v>
      </c>
      <c r="B560" s="19" t="s">
        <v>1177</v>
      </c>
      <c r="C560" s="19" t="s">
        <v>1178</v>
      </c>
      <c r="D560" s="8" t="s">
        <v>34</v>
      </c>
      <c r="E560" s="19" t="s">
        <v>269</v>
      </c>
      <c r="F560" s="8" t="s">
        <v>36</v>
      </c>
      <c r="G560" s="7" t="s">
        <v>59</v>
      </c>
      <c r="H560" s="9" t="s">
        <v>44</v>
      </c>
      <c r="I560" s="10"/>
      <c r="J560" s="10" t="s">
        <v>40</v>
      </c>
      <c r="K560" s="10" t="s">
        <v>40</v>
      </c>
      <c r="L560" s="10" t="s">
        <v>40</v>
      </c>
      <c r="M560">
        <v>0</v>
      </c>
      <c r="N560">
        <v>0</v>
      </c>
      <c r="O560">
        <v>0</v>
      </c>
      <c r="P560" s="10" t="s">
        <v>44</v>
      </c>
      <c r="Q560" s="10">
        <f t="array" ref="Q560">IFERROR(SUMPRODUCT((N560:P560&gt;0)*(N560:P560))/3, 0)</f>
        <v>0</v>
      </c>
      <c r="R560" s="10"/>
      <c r="S560" s="11" t="str">
        <f t="shared" si="67"/>
        <v/>
      </c>
      <c r="T560" s="7"/>
      <c r="U560" s="7"/>
      <c r="V560" s="7"/>
      <c r="W560" s="7"/>
      <c r="X560" s="7"/>
      <c r="Y560" s="7"/>
      <c r="Z560" s="15"/>
      <c r="AA560" s="15"/>
      <c r="AB560" s="11" t="str">
        <f t="shared" si="68"/>
        <v/>
      </c>
      <c r="AC560" s="11"/>
      <c r="AD560" s="11"/>
      <c r="AE560" s="11"/>
      <c r="AF560" s="11"/>
      <c r="AG560" s="11"/>
      <c r="AH560" s="11"/>
      <c r="AI560" s="11"/>
      <c r="AJ560" s="15"/>
      <c r="AK560" s="15"/>
      <c r="AL560" s="14">
        <f t="shared" si="69"/>
        <v>3</v>
      </c>
      <c r="AM560" s="11">
        <f t="shared" si="70"/>
        <v>3</v>
      </c>
      <c r="AN560" s="14">
        <f t="shared" si="71"/>
        <v>3</v>
      </c>
      <c r="AO560" s="15"/>
      <c r="AP560" s="15"/>
      <c r="AQ560" s="15"/>
    </row>
    <row r="561" spans="1:43" ht="51" hidden="1" x14ac:dyDescent="0.2">
      <c r="A561" s="7">
        <v>560</v>
      </c>
      <c r="B561" s="19" t="s">
        <v>1179</v>
      </c>
      <c r="C561" s="19" t="s">
        <v>1180</v>
      </c>
      <c r="D561" s="8" t="s">
        <v>34</v>
      </c>
      <c r="E561" s="19" t="s">
        <v>269</v>
      </c>
      <c r="F561" s="8" t="s">
        <v>36</v>
      </c>
      <c r="G561" s="7" t="s">
        <v>59</v>
      </c>
      <c r="H561" s="9" t="s">
        <v>44</v>
      </c>
      <c r="I561" s="10"/>
      <c r="J561" s="10" t="s">
        <v>40</v>
      </c>
      <c r="K561" s="10" t="s">
        <v>40</v>
      </c>
      <c r="L561" s="10" t="s">
        <v>40</v>
      </c>
      <c r="M561">
        <v>0</v>
      </c>
      <c r="N561">
        <v>0</v>
      </c>
      <c r="O561">
        <v>0</v>
      </c>
      <c r="P561" s="10" t="s">
        <v>44</v>
      </c>
      <c r="Q561" s="10">
        <f t="array" ref="Q561">IFERROR(SUMPRODUCT((N561:P561&gt;0)*(N561:P561))/3, 0)</f>
        <v>0</v>
      </c>
      <c r="R561" s="10"/>
      <c r="S561" s="11" t="str">
        <f t="shared" si="67"/>
        <v/>
      </c>
      <c r="T561" s="7"/>
      <c r="U561" s="7"/>
      <c r="V561" s="7"/>
      <c r="W561" s="7"/>
      <c r="X561" s="7"/>
      <c r="Y561" s="7"/>
      <c r="Z561" s="15"/>
      <c r="AA561" s="15"/>
      <c r="AB561" s="11" t="str">
        <f t="shared" si="68"/>
        <v/>
      </c>
      <c r="AC561" s="11"/>
      <c r="AD561" s="11"/>
      <c r="AE561" s="11"/>
      <c r="AF561" s="11"/>
      <c r="AG561" s="11"/>
      <c r="AH561" s="11"/>
      <c r="AI561" s="11"/>
      <c r="AJ561" s="15"/>
      <c r="AK561" s="15"/>
      <c r="AL561" s="14">
        <f t="shared" si="69"/>
        <v>3</v>
      </c>
      <c r="AM561" s="11">
        <f t="shared" si="70"/>
        <v>3</v>
      </c>
      <c r="AN561" s="14">
        <f t="shared" si="71"/>
        <v>3</v>
      </c>
      <c r="AO561" s="15"/>
      <c r="AP561" s="15"/>
      <c r="AQ561" s="15"/>
    </row>
    <row r="562" spans="1:43" ht="51" hidden="1" x14ac:dyDescent="0.2">
      <c r="A562" s="7">
        <v>561</v>
      </c>
      <c r="B562" s="19" t="s">
        <v>1181</v>
      </c>
      <c r="C562" s="19" t="s">
        <v>1182</v>
      </c>
      <c r="D562" s="8" t="s">
        <v>34</v>
      </c>
      <c r="E562" s="19" t="s">
        <v>269</v>
      </c>
      <c r="F562" s="8" t="s">
        <v>36</v>
      </c>
      <c r="G562" s="7" t="s">
        <v>59</v>
      </c>
      <c r="H562" s="9" t="s">
        <v>44</v>
      </c>
      <c r="I562" s="10"/>
      <c r="J562" s="10" t="s">
        <v>40</v>
      </c>
      <c r="K562" s="10" t="s">
        <v>40</v>
      </c>
      <c r="L562" s="10" t="s">
        <v>40</v>
      </c>
      <c r="M562">
        <v>0</v>
      </c>
      <c r="N562">
        <v>0</v>
      </c>
      <c r="O562">
        <v>0</v>
      </c>
      <c r="P562" s="10" t="s">
        <v>44</v>
      </c>
      <c r="Q562" s="10">
        <f t="array" ref="Q562">IFERROR(SUMPRODUCT((N562:P562&gt;0)*(N562:P562))/3, 0)</f>
        <v>0</v>
      </c>
      <c r="R562" s="10"/>
      <c r="S562" s="11" t="str">
        <f t="shared" si="67"/>
        <v/>
      </c>
      <c r="T562" s="7"/>
      <c r="U562" s="7"/>
      <c r="V562" s="7"/>
      <c r="W562" s="7"/>
      <c r="X562" s="7"/>
      <c r="Y562" s="7"/>
      <c r="Z562" s="15"/>
      <c r="AA562" s="15"/>
      <c r="AB562" s="11" t="str">
        <f t="shared" si="68"/>
        <v/>
      </c>
      <c r="AC562" s="11"/>
      <c r="AD562" s="11"/>
      <c r="AE562" s="11"/>
      <c r="AF562" s="11"/>
      <c r="AG562" s="11"/>
      <c r="AH562" s="11"/>
      <c r="AI562" s="11"/>
      <c r="AJ562" s="15"/>
      <c r="AK562" s="15"/>
      <c r="AL562" s="14">
        <f t="shared" si="69"/>
        <v>3</v>
      </c>
      <c r="AM562" s="11">
        <f t="shared" si="70"/>
        <v>3</v>
      </c>
      <c r="AN562" s="14">
        <f t="shared" si="71"/>
        <v>3</v>
      </c>
      <c r="AO562" s="15"/>
      <c r="AP562" s="15"/>
      <c r="AQ562" s="15"/>
    </row>
    <row r="563" spans="1:43" ht="34" hidden="1" x14ac:dyDescent="0.2">
      <c r="A563" s="7">
        <v>562</v>
      </c>
      <c r="B563" s="19" t="s">
        <v>1183</v>
      </c>
      <c r="C563" s="19" t="s">
        <v>1184</v>
      </c>
      <c r="D563" s="8" t="s">
        <v>34</v>
      </c>
      <c r="E563" s="19" t="s">
        <v>269</v>
      </c>
      <c r="F563" s="8" t="s">
        <v>36</v>
      </c>
      <c r="G563" s="7" t="s">
        <v>59</v>
      </c>
      <c r="H563" s="9" t="s">
        <v>44</v>
      </c>
      <c r="I563" s="10"/>
      <c r="J563" s="10" t="s">
        <v>40</v>
      </c>
      <c r="K563" s="10" t="s">
        <v>40</v>
      </c>
      <c r="L563" s="10" t="s">
        <v>40</v>
      </c>
      <c r="M563">
        <v>0</v>
      </c>
      <c r="N563">
        <v>0</v>
      </c>
      <c r="O563">
        <v>0</v>
      </c>
      <c r="P563" s="10" t="s">
        <v>44</v>
      </c>
      <c r="Q563" s="10">
        <f t="array" ref="Q563">IFERROR(SUMPRODUCT((N563:P563&gt;0)*(N563:P563))/3, 0)</f>
        <v>0</v>
      </c>
      <c r="R563" s="10"/>
      <c r="S563" s="11" t="str">
        <f t="shared" si="67"/>
        <v/>
      </c>
      <c r="T563" s="7"/>
      <c r="U563" s="7"/>
      <c r="V563" s="7"/>
      <c r="W563" s="7"/>
      <c r="X563" s="7"/>
      <c r="Y563" s="7"/>
      <c r="Z563" s="15"/>
      <c r="AA563" s="15"/>
      <c r="AB563" s="11" t="str">
        <f t="shared" si="68"/>
        <v/>
      </c>
      <c r="AC563" s="11"/>
      <c r="AD563" s="11"/>
      <c r="AE563" s="11"/>
      <c r="AF563" s="11"/>
      <c r="AG563" s="11"/>
      <c r="AH563" s="11"/>
      <c r="AI563" s="11"/>
      <c r="AJ563" s="15"/>
      <c r="AK563" s="15"/>
      <c r="AL563" s="14">
        <f t="shared" si="69"/>
        <v>3</v>
      </c>
      <c r="AM563" s="11">
        <f t="shared" si="70"/>
        <v>3</v>
      </c>
      <c r="AN563" s="14">
        <f t="shared" si="71"/>
        <v>3</v>
      </c>
      <c r="AO563" s="15"/>
      <c r="AP563" s="15"/>
      <c r="AQ563" s="15"/>
    </row>
    <row r="564" spans="1:43" ht="68" hidden="1" x14ac:dyDescent="0.2">
      <c r="A564" s="7">
        <v>563</v>
      </c>
      <c r="B564" s="19" t="s">
        <v>1185</v>
      </c>
      <c r="C564" s="19" t="s">
        <v>1186</v>
      </c>
      <c r="D564" s="8" t="s">
        <v>34</v>
      </c>
      <c r="E564" s="19" t="s">
        <v>269</v>
      </c>
      <c r="F564" s="8" t="s">
        <v>36</v>
      </c>
      <c r="G564" s="7" t="s">
        <v>59</v>
      </c>
      <c r="H564" s="9" t="s">
        <v>44</v>
      </c>
      <c r="I564" s="10"/>
      <c r="J564" s="10" t="s">
        <v>40</v>
      </c>
      <c r="K564" s="10" t="s">
        <v>40</v>
      </c>
      <c r="L564" s="10" t="s">
        <v>40</v>
      </c>
      <c r="M564">
        <v>0</v>
      </c>
      <c r="N564">
        <v>0</v>
      </c>
      <c r="O564">
        <v>0</v>
      </c>
      <c r="P564" s="10" t="s">
        <v>44</v>
      </c>
      <c r="Q564" s="10">
        <f t="array" ref="Q564">IFERROR(SUMPRODUCT((N564:P564&gt;0)*(N564:P564))/3, 0)</f>
        <v>0</v>
      </c>
      <c r="R564" s="10"/>
      <c r="S564" s="11" t="str">
        <f t="shared" si="67"/>
        <v/>
      </c>
      <c r="T564" s="7"/>
      <c r="U564" s="7"/>
      <c r="V564" s="7"/>
      <c r="W564" s="7"/>
      <c r="X564" s="7"/>
      <c r="Y564" s="7"/>
      <c r="Z564" s="15"/>
      <c r="AA564" s="15"/>
      <c r="AB564" s="11" t="str">
        <f t="shared" si="68"/>
        <v/>
      </c>
      <c r="AC564" s="11"/>
      <c r="AD564" s="11"/>
      <c r="AE564" s="11"/>
      <c r="AF564" s="11"/>
      <c r="AG564" s="11"/>
      <c r="AH564" s="11"/>
      <c r="AI564" s="11"/>
      <c r="AJ564" s="15"/>
      <c r="AK564" s="15"/>
      <c r="AL564" s="14">
        <f t="shared" si="69"/>
        <v>3</v>
      </c>
      <c r="AM564" s="11">
        <f t="shared" si="70"/>
        <v>3</v>
      </c>
      <c r="AN564" s="14">
        <f t="shared" si="71"/>
        <v>3</v>
      </c>
      <c r="AO564" s="15"/>
      <c r="AP564" s="15"/>
      <c r="AQ564" s="15"/>
    </row>
    <row r="565" spans="1:43" ht="51" hidden="1" x14ac:dyDescent="0.2">
      <c r="A565" s="7">
        <v>564</v>
      </c>
      <c r="B565" s="19" t="s">
        <v>1187</v>
      </c>
      <c r="C565" s="19" t="s">
        <v>1188</v>
      </c>
      <c r="D565" s="8" t="s">
        <v>34</v>
      </c>
      <c r="E565" s="19" t="s">
        <v>269</v>
      </c>
      <c r="F565" s="8" t="s">
        <v>36</v>
      </c>
      <c r="G565" s="7" t="s">
        <v>59</v>
      </c>
      <c r="H565" s="9" t="s">
        <v>44</v>
      </c>
      <c r="I565" s="10"/>
      <c r="J565" s="10" t="s">
        <v>40</v>
      </c>
      <c r="K565" s="10" t="s">
        <v>40</v>
      </c>
      <c r="L565" s="10" t="s">
        <v>40</v>
      </c>
      <c r="M565">
        <v>0</v>
      </c>
      <c r="N565">
        <v>0</v>
      </c>
      <c r="O565">
        <v>0</v>
      </c>
      <c r="P565" s="10" t="s">
        <v>44</v>
      </c>
      <c r="Q565" s="10">
        <f t="array" ref="Q565">IFERROR(SUMPRODUCT((N565:P565&gt;0)*(N565:P565))/3, 0)</f>
        <v>0</v>
      </c>
      <c r="R565" s="10"/>
      <c r="S565" s="11" t="str">
        <f t="shared" si="67"/>
        <v/>
      </c>
      <c r="T565" s="7"/>
      <c r="U565" s="7"/>
      <c r="V565" s="7"/>
      <c r="W565" s="7"/>
      <c r="X565" s="7"/>
      <c r="Y565" s="7"/>
      <c r="Z565" s="15"/>
      <c r="AA565" s="15"/>
      <c r="AB565" s="11" t="str">
        <f t="shared" si="68"/>
        <v/>
      </c>
      <c r="AC565" s="11"/>
      <c r="AD565" s="11"/>
      <c r="AE565" s="11"/>
      <c r="AF565" s="11"/>
      <c r="AG565" s="11"/>
      <c r="AH565" s="11"/>
      <c r="AI565" s="11"/>
      <c r="AJ565" s="15"/>
      <c r="AK565" s="15"/>
      <c r="AL565" s="14">
        <f t="shared" si="69"/>
        <v>3</v>
      </c>
      <c r="AM565" s="11">
        <f t="shared" si="70"/>
        <v>3</v>
      </c>
      <c r="AN565" s="14">
        <f t="shared" si="71"/>
        <v>3</v>
      </c>
      <c r="AO565" s="15"/>
      <c r="AP565" s="15"/>
      <c r="AQ565" s="15"/>
    </row>
    <row r="566" spans="1:43" ht="51" hidden="1" x14ac:dyDescent="0.2">
      <c r="A566" s="7">
        <v>565</v>
      </c>
      <c r="B566" s="19" t="s">
        <v>1189</v>
      </c>
      <c r="C566" s="19" t="s">
        <v>1190</v>
      </c>
      <c r="D566" s="8" t="s">
        <v>34</v>
      </c>
      <c r="E566" s="19" t="s">
        <v>269</v>
      </c>
      <c r="F566" s="8" t="s">
        <v>36</v>
      </c>
      <c r="G566" s="7" t="s">
        <v>59</v>
      </c>
      <c r="H566" s="9" t="s">
        <v>44</v>
      </c>
      <c r="I566" s="10"/>
      <c r="J566" s="10" t="s">
        <v>40</v>
      </c>
      <c r="K566" s="10" t="s">
        <v>40</v>
      </c>
      <c r="L566" s="10" t="s">
        <v>40</v>
      </c>
      <c r="M566">
        <v>0</v>
      </c>
      <c r="N566">
        <v>0</v>
      </c>
      <c r="O566">
        <v>0</v>
      </c>
      <c r="P566" s="10" t="s">
        <v>44</v>
      </c>
      <c r="Q566" s="10">
        <f t="array" ref="Q566">IFERROR(SUMPRODUCT((N566:P566&gt;0)*(N566:P566))/3, 0)</f>
        <v>0</v>
      </c>
      <c r="R566" s="10"/>
      <c r="S566" s="11" t="str">
        <f t="shared" si="67"/>
        <v/>
      </c>
      <c r="T566" s="7"/>
      <c r="U566" s="7"/>
      <c r="V566" s="7"/>
      <c r="W566" s="7"/>
      <c r="X566" s="7"/>
      <c r="Y566" s="7"/>
      <c r="Z566" s="15"/>
      <c r="AA566" s="15"/>
      <c r="AB566" s="11" t="str">
        <f t="shared" si="68"/>
        <v/>
      </c>
      <c r="AC566" s="11"/>
      <c r="AD566" s="11"/>
      <c r="AE566" s="11"/>
      <c r="AF566" s="11"/>
      <c r="AG566" s="11"/>
      <c r="AH566" s="11"/>
      <c r="AI566" s="11"/>
      <c r="AJ566" s="15"/>
      <c r="AK566" s="15"/>
      <c r="AL566" s="14">
        <f t="shared" si="69"/>
        <v>3</v>
      </c>
      <c r="AM566" s="11">
        <f t="shared" si="70"/>
        <v>3</v>
      </c>
      <c r="AN566" s="14">
        <f t="shared" si="71"/>
        <v>3</v>
      </c>
      <c r="AO566" s="15"/>
      <c r="AP566" s="15"/>
      <c r="AQ566" s="15"/>
    </row>
    <row r="567" spans="1:43" ht="51" hidden="1" x14ac:dyDescent="0.2">
      <c r="A567" s="7">
        <v>566</v>
      </c>
      <c r="B567" s="19" t="s">
        <v>1191</v>
      </c>
      <c r="C567" s="19" t="s">
        <v>1192</v>
      </c>
      <c r="D567" s="8" t="s">
        <v>34</v>
      </c>
      <c r="E567" s="19" t="s">
        <v>269</v>
      </c>
      <c r="F567" s="8" t="s">
        <v>36</v>
      </c>
      <c r="G567" s="7" t="s">
        <v>59</v>
      </c>
      <c r="H567" s="9" t="s">
        <v>44</v>
      </c>
      <c r="I567" s="10"/>
      <c r="J567" s="10" t="s">
        <v>40</v>
      </c>
      <c r="K567" s="10" t="s">
        <v>40</v>
      </c>
      <c r="L567" s="10" t="s">
        <v>40</v>
      </c>
      <c r="M567">
        <v>0</v>
      </c>
      <c r="N567">
        <v>0</v>
      </c>
      <c r="O567">
        <v>0</v>
      </c>
      <c r="P567" s="10" t="s">
        <v>44</v>
      </c>
      <c r="Q567" s="10">
        <f t="array" ref="Q567">IFERROR(SUMPRODUCT((N567:P567&gt;0)*(N567:P567))/3, 0)</f>
        <v>0</v>
      </c>
      <c r="R567" s="10"/>
      <c r="S567" s="11" t="str">
        <f t="shared" si="67"/>
        <v/>
      </c>
      <c r="T567" s="7"/>
      <c r="U567" s="7"/>
      <c r="V567" s="7"/>
      <c r="W567" s="7"/>
      <c r="X567" s="7"/>
      <c r="Y567" s="7"/>
      <c r="Z567" s="15"/>
      <c r="AA567" s="15"/>
      <c r="AB567" s="11" t="str">
        <f t="shared" si="68"/>
        <v/>
      </c>
      <c r="AC567" s="11"/>
      <c r="AD567" s="11"/>
      <c r="AE567" s="11"/>
      <c r="AF567" s="11"/>
      <c r="AG567" s="11"/>
      <c r="AH567" s="11"/>
      <c r="AI567" s="11"/>
      <c r="AJ567" s="15"/>
      <c r="AK567" s="15"/>
      <c r="AL567" s="14">
        <f t="shared" si="69"/>
        <v>3</v>
      </c>
      <c r="AM567" s="11">
        <f t="shared" si="70"/>
        <v>3</v>
      </c>
      <c r="AN567" s="14">
        <f t="shared" si="71"/>
        <v>3</v>
      </c>
      <c r="AO567" s="15"/>
      <c r="AP567" s="15"/>
      <c r="AQ567" s="15"/>
    </row>
    <row r="568" spans="1:43" ht="51" hidden="1" x14ac:dyDescent="0.2">
      <c r="A568" s="7">
        <v>567</v>
      </c>
      <c r="B568" s="19" t="s">
        <v>1193</v>
      </c>
      <c r="C568" s="19" t="s">
        <v>1194</v>
      </c>
      <c r="D568" s="8" t="s">
        <v>34</v>
      </c>
      <c r="E568" s="19" t="s">
        <v>269</v>
      </c>
      <c r="F568" s="8" t="s">
        <v>36</v>
      </c>
      <c r="G568" s="7" t="s">
        <v>59</v>
      </c>
      <c r="H568" s="9" t="s">
        <v>44</v>
      </c>
      <c r="I568" s="10"/>
      <c r="J568" s="10" t="s">
        <v>40</v>
      </c>
      <c r="K568" s="10" t="s">
        <v>40</v>
      </c>
      <c r="L568" s="10" t="s">
        <v>40</v>
      </c>
      <c r="M568">
        <v>0</v>
      </c>
      <c r="N568">
        <v>0</v>
      </c>
      <c r="O568">
        <v>0</v>
      </c>
      <c r="P568" s="10" t="s">
        <v>44</v>
      </c>
      <c r="Q568" s="10">
        <f t="array" ref="Q568">IFERROR(SUMPRODUCT((N568:P568&gt;0)*(N568:P568))/3, 0)</f>
        <v>0</v>
      </c>
      <c r="R568" s="10"/>
      <c r="S568" s="11" t="str">
        <f t="shared" si="67"/>
        <v/>
      </c>
      <c r="T568" s="7"/>
      <c r="U568" s="7"/>
      <c r="V568" s="7"/>
      <c r="W568" s="7"/>
      <c r="X568" s="7"/>
      <c r="Y568" s="7"/>
      <c r="Z568" s="15"/>
      <c r="AA568" s="15"/>
      <c r="AB568" s="11" t="str">
        <f t="shared" si="68"/>
        <v/>
      </c>
      <c r="AC568" s="11"/>
      <c r="AD568" s="11"/>
      <c r="AE568" s="11"/>
      <c r="AF568" s="11"/>
      <c r="AG568" s="11"/>
      <c r="AH568" s="11"/>
      <c r="AI568" s="11"/>
      <c r="AJ568" s="15"/>
      <c r="AK568" s="15"/>
      <c r="AL568" s="14">
        <f t="shared" si="69"/>
        <v>3</v>
      </c>
      <c r="AM568" s="11">
        <f t="shared" si="70"/>
        <v>3</v>
      </c>
      <c r="AN568" s="14">
        <f t="shared" si="71"/>
        <v>3</v>
      </c>
      <c r="AO568" s="15"/>
      <c r="AP568" s="15"/>
      <c r="AQ568" s="15"/>
    </row>
    <row r="569" spans="1:43" ht="51" hidden="1" x14ac:dyDescent="0.2">
      <c r="A569" s="7">
        <v>568</v>
      </c>
      <c r="B569" s="19" t="s">
        <v>1195</v>
      </c>
      <c r="C569" s="19" t="s">
        <v>1196</v>
      </c>
      <c r="D569" s="8" t="s">
        <v>34</v>
      </c>
      <c r="E569" s="19" t="s">
        <v>269</v>
      </c>
      <c r="F569" s="8" t="s">
        <v>36</v>
      </c>
      <c r="G569" s="7" t="s">
        <v>59</v>
      </c>
      <c r="H569" s="9" t="s">
        <v>44</v>
      </c>
      <c r="I569" s="10"/>
      <c r="J569" s="10" t="s">
        <v>40</v>
      </c>
      <c r="K569" s="10" t="s">
        <v>40</v>
      </c>
      <c r="L569" s="10" t="s">
        <v>40</v>
      </c>
      <c r="M569">
        <v>0</v>
      </c>
      <c r="N569">
        <v>0</v>
      </c>
      <c r="O569">
        <v>0</v>
      </c>
      <c r="P569" s="10" t="s">
        <v>44</v>
      </c>
      <c r="Q569" s="10">
        <f t="array" ref="Q569">IFERROR(SUMPRODUCT((N569:P569&gt;0)*(N569:P569))/3, 0)</f>
        <v>0</v>
      </c>
      <c r="R569" s="10"/>
      <c r="S569" s="11" t="str">
        <f t="shared" si="67"/>
        <v/>
      </c>
      <c r="T569" s="7"/>
      <c r="U569" s="7"/>
      <c r="V569" s="7"/>
      <c r="W569" s="7"/>
      <c r="X569" s="7"/>
      <c r="Y569" s="7"/>
      <c r="Z569" s="15"/>
      <c r="AA569" s="15"/>
      <c r="AB569" s="11" t="str">
        <f t="shared" si="68"/>
        <v/>
      </c>
      <c r="AC569" s="11"/>
      <c r="AD569" s="11"/>
      <c r="AE569" s="11"/>
      <c r="AF569" s="11"/>
      <c r="AG569" s="11"/>
      <c r="AH569" s="11"/>
      <c r="AI569" s="11"/>
      <c r="AJ569" s="15"/>
      <c r="AK569" s="15"/>
      <c r="AL569" s="14">
        <f t="shared" si="69"/>
        <v>3</v>
      </c>
      <c r="AM569" s="11">
        <f t="shared" si="70"/>
        <v>3</v>
      </c>
      <c r="AN569" s="14">
        <f t="shared" si="71"/>
        <v>3</v>
      </c>
      <c r="AO569" s="15"/>
      <c r="AP569" s="15"/>
      <c r="AQ569" s="15"/>
    </row>
    <row r="570" spans="1:43" ht="51" hidden="1" x14ac:dyDescent="0.2">
      <c r="A570" s="7">
        <v>569</v>
      </c>
      <c r="B570" s="19" t="s">
        <v>1197</v>
      </c>
      <c r="C570" s="19" t="s">
        <v>1198</v>
      </c>
      <c r="D570" s="8" t="s">
        <v>34</v>
      </c>
      <c r="E570" s="19" t="s">
        <v>269</v>
      </c>
      <c r="F570" s="8" t="s">
        <v>36</v>
      </c>
      <c r="G570" s="7" t="s">
        <v>59</v>
      </c>
      <c r="H570" s="9" t="s">
        <v>44</v>
      </c>
      <c r="I570" s="10"/>
      <c r="J570" s="10" t="s">
        <v>40</v>
      </c>
      <c r="K570" s="10" t="s">
        <v>40</v>
      </c>
      <c r="L570" s="10" t="s">
        <v>40</v>
      </c>
      <c r="M570">
        <v>0</v>
      </c>
      <c r="N570">
        <v>0</v>
      </c>
      <c r="O570">
        <v>0</v>
      </c>
      <c r="P570" s="10" t="s">
        <v>44</v>
      </c>
      <c r="Q570" s="10">
        <f t="array" ref="Q570">IFERROR(SUMPRODUCT((N570:P570&gt;0)*(N570:P570))/3, 0)</f>
        <v>0</v>
      </c>
      <c r="R570" s="10"/>
      <c r="S570" s="11" t="str">
        <f t="shared" si="67"/>
        <v/>
      </c>
      <c r="T570" s="7"/>
      <c r="U570" s="7"/>
      <c r="V570" s="7"/>
      <c r="W570" s="7"/>
      <c r="X570" s="7"/>
      <c r="Y570" s="7"/>
      <c r="Z570" s="15"/>
      <c r="AA570" s="15"/>
      <c r="AB570" s="11" t="str">
        <f t="shared" si="68"/>
        <v/>
      </c>
      <c r="AC570" s="11"/>
      <c r="AD570" s="11"/>
      <c r="AE570" s="11"/>
      <c r="AF570" s="11"/>
      <c r="AG570" s="11"/>
      <c r="AH570" s="11"/>
      <c r="AI570" s="11"/>
      <c r="AJ570" s="15"/>
      <c r="AK570" s="15"/>
      <c r="AL570" s="14">
        <f t="shared" si="69"/>
        <v>3</v>
      </c>
      <c r="AM570" s="11">
        <f t="shared" si="70"/>
        <v>3</v>
      </c>
      <c r="AN570" s="14">
        <f t="shared" si="71"/>
        <v>3</v>
      </c>
      <c r="AO570" s="15"/>
      <c r="AP570" s="15"/>
      <c r="AQ570" s="15"/>
    </row>
    <row r="571" spans="1:43" ht="51" hidden="1" x14ac:dyDescent="0.2">
      <c r="A571" s="7">
        <v>570</v>
      </c>
      <c r="B571" s="19" t="s">
        <v>1199</v>
      </c>
      <c r="C571" s="19" t="s">
        <v>1200</v>
      </c>
      <c r="D571" s="8" t="s">
        <v>34</v>
      </c>
      <c r="E571" s="19" t="s">
        <v>269</v>
      </c>
      <c r="F571" s="8" t="s">
        <v>36</v>
      </c>
      <c r="G571" s="7" t="s">
        <v>59</v>
      </c>
      <c r="H571" s="9" t="s">
        <v>44</v>
      </c>
      <c r="I571" s="10"/>
      <c r="J571" s="10" t="s">
        <v>40</v>
      </c>
      <c r="K571" s="10" t="s">
        <v>40</v>
      </c>
      <c r="L571" s="10" t="s">
        <v>40</v>
      </c>
      <c r="M571">
        <v>0</v>
      </c>
      <c r="N571">
        <v>0</v>
      </c>
      <c r="O571">
        <v>0</v>
      </c>
      <c r="P571" s="10" t="s">
        <v>44</v>
      </c>
      <c r="Q571" s="10">
        <f t="array" ref="Q571">IFERROR(SUMPRODUCT((N571:P571&gt;0)*(N571:P571))/3, 0)</f>
        <v>0</v>
      </c>
      <c r="R571" s="10"/>
      <c r="S571" s="11" t="str">
        <f t="shared" si="67"/>
        <v/>
      </c>
      <c r="T571" s="7"/>
      <c r="U571" s="7"/>
      <c r="V571" s="7"/>
      <c r="W571" s="7"/>
      <c r="X571" s="7"/>
      <c r="Y571" s="7"/>
      <c r="Z571" s="15"/>
      <c r="AA571" s="15"/>
      <c r="AB571" s="11" t="str">
        <f t="shared" si="68"/>
        <v/>
      </c>
      <c r="AC571" s="11"/>
      <c r="AD571" s="11"/>
      <c r="AE571" s="11"/>
      <c r="AF571" s="11"/>
      <c r="AG571" s="11"/>
      <c r="AH571" s="11"/>
      <c r="AI571" s="11"/>
      <c r="AJ571" s="15"/>
      <c r="AK571" s="15"/>
      <c r="AL571" s="14">
        <f t="shared" si="69"/>
        <v>3</v>
      </c>
      <c r="AM571" s="11">
        <f t="shared" si="70"/>
        <v>3</v>
      </c>
      <c r="AN571" s="14">
        <f t="shared" si="71"/>
        <v>3</v>
      </c>
      <c r="AO571" s="15"/>
      <c r="AP571" s="15"/>
      <c r="AQ571" s="15"/>
    </row>
    <row r="572" spans="1:43" ht="34" hidden="1" x14ac:dyDescent="0.2">
      <c r="A572" s="7">
        <v>571</v>
      </c>
      <c r="B572" s="19" t="s">
        <v>1201</v>
      </c>
      <c r="C572" s="19" t="s">
        <v>1202</v>
      </c>
      <c r="D572" s="8" t="s">
        <v>34</v>
      </c>
      <c r="E572" s="19" t="s">
        <v>269</v>
      </c>
      <c r="F572" s="8" t="s">
        <v>36</v>
      </c>
      <c r="G572" s="7" t="s">
        <v>59</v>
      </c>
      <c r="H572" s="9" t="s">
        <v>44</v>
      </c>
      <c r="I572" s="10"/>
      <c r="J572" s="10" t="s">
        <v>40</v>
      </c>
      <c r="K572" s="10" t="s">
        <v>40</v>
      </c>
      <c r="L572" s="10" t="s">
        <v>40</v>
      </c>
      <c r="M572">
        <v>0</v>
      </c>
      <c r="N572">
        <v>0</v>
      </c>
      <c r="O572">
        <v>0</v>
      </c>
      <c r="P572" s="10" t="s">
        <v>44</v>
      </c>
      <c r="Q572" s="10">
        <f t="array" ref="Q572">IFERROR(SUMPRODUCT((N572:P572&gt;0)*(N572:P572))/3, 0)</f>
        <v>0</v>
      </c>
      <c r="R572" s="10"/>
      <c r="S572" s="11" t="str">
        <f t="shared" si="67"/>
        <v/>
      </c>
      <c r="T572" s="7"/>
      <c r="U572" s="7"/>
      <c r="V572" s="7"/>
      <c r="W572" s="7"/>
      <c r="X572" s="7"/>
      <c r="Y572" s="7"/>
      <c r="Z572" s="15"/>
      <c r="AA572" s="15"/>
      <c r="AB572" s="11" t="str">
        <f t="shared" si="68"/>
        <v/>
      </c>
      <c r="AC572" s="11"/>
      <c r="AD572" s="11"/>
      <c r="AE572" s="11"/>
      <c r="AF572" s="11"/>
      <c r="AG572" s="11"/>
      <c r="AH572" s="11"/>
      <c r="AI572" s="11"/>
      <c r="AJ572" s="15"/>
      <c r="AK572" s="15"/>
      <c r="AL572" s="14">
        <f t="shared" si="69"/>
        <v>3</v>
      </c>
      <c r="AM572" s="11">
        <f t="shared" si="70"/>
        <v>3</v>
      </c>
      <c r="AN572" s="14">
        <f t="shared" si="71"/>
        <v>3</v>
      </c>
      <c r="AO572" s="15"/>
      <c r="AP572" s="15"/>
      <c r="AQ572" s="15"/>
    </row>
    <row r="573" spans="1:43" ht="34" hidden="1" x14ac:dyDescent="0.2">
      <c r="A573" s="7">
        <v>572</v>
      </c>
      <c r="B573" s="19" t="s">
        <v>1203</v>
      </c>
      <c r="C573" s="19" t="s">
        <v>1204</v>
      </c>
      <c r="D573" s="8" t="s">
        <v>34</v>
      </c>
      <c r="E573" s="19" t="s">
        <v>269</v>
      </c>
      <c r="F573" s="8" t="s">
        <v>36</v>
      </c>
      <c r="G573" s="7" t="s">
        <v>59</v>
      </c>
      <c r="H573" s="9" t="s">
        <v>44</v>
      </c>
      <c r="I573" s="10"/>
      <c r="J573" s="10" t="s">
        <v>40</v>
      </c>
      <c r="K573" s="10" t="s">
        <v>40</v>
      </c>
      <c r="L573" s="10" t="s">
        <v>40</v>
      </c>
      <c r="M573">
        <v>0</v>
      </c>
      <c r="N573">
        <v>0</v>
      </c>
      <c r="O573">
        <v>0</v>
      </c>
      <c r="P573" s="10" t="s">
        <v>44</v>
      </c>
      <c r="Q573" s="10">
        <f t="array" ref="Q573">IFERROR(SUMPRODUCT((N573:P573&gt;0)*(N573:P573))/3, 0)</f>
        <v>0</v>
      </c>
      <c r="R573" s="10"/>
      <c r="S573" s="11" t="str">
        <f t="shared" si="67"/>
        <v/>
      </c>
      <c r="T573" s="7"/>
      <c r="U573" s="7"/>
      <c r="V573" s="7"/>
      <c r="W573" s="7"/>
      <c r="X573" s="7"/>
      <c r="Y573" s="7"/>
      <c r="Z573" s="15"/>
      <c r="AA573" s="15"/>
      <c r="AB573" s="11" t="str">
        <f t="shared" si="68"/>
        <v/>
      </c>
      <c r="AC573" s="11"/>
      <c r="AD573" s="11"/>
      <c r="AE573" s="11"/>
      <c r="AF573" s="11"/>
      <c r="AG573" s="11"/>
      <c r="AH573" s="11"/>
      <c r="AI573" s="11"/>
      <c r="AJ573" s="15"/>
      <c r="AK573" s="15"/>
      <c r="AL573" s="14">
        <f t="shared" si="69"/>
        <v>3</v>
      </c>
      <c r="AM573" s="11">
        <f t="shared" si="70"/>
        <v>3</v>
      </c>
      <c r="AN573" s="14">
        <f t="shared" si="71"/>
        <v>3</v>
      </c>
      <c r="AO573" s="15"/>
      <c r="AP573" s="15"/>
      <c r="AQ573" s="15"/>
    </row>
    <row r="574" spans="1:43" ht="34" hidden="1" x14ac:dyDescent="0.2">
      <c r="A574" s="7">
        <v>573</v>
      </c>
      <c r="B574" s="19" t="s">
        <v>1205</v>
      </c>
      <c r="C574" s="19" t="s">
        <v>1206</v>
      </c>
      <c r="D574" s="8" t="s">
        <v>34</v>
      </c>
      <c r="E574" s="19" t="s">
        <v>269</v>
      </c>
      <c r="F574" s="8" t="s">
        <v>36</v>
      </c>
      <c r="G574" s="7" t="s">
        <v>59</v>
      </c>
      <c r="H574" s="9" t="s">
        <v>44</v>
      </c>
      <c r="I574" s="10"/>
      <c r="J574" s="10" t="s">
        <v>40</v>
      </c>
      <c r="K574" s="10" t="s">
        <v>40</v>
      </c>
      <c r="L574" s="10" t="s">
        <v>40</v>
      </c>
      <c r="M574">
        <v>0</v>
      </c>
      <c r="N574">
        <v>0</v>
      </c>
      <c r="O574">
        <v>0</v>
      </c>
      <c r="P574" s="10" t="s">
        <v>44</v>
      </c>
      <c r="Q574" s="10">
        <f t="array" ref="Q574">IFERROR(SUMPRODUCT((N574:P574&gt;0)*(N574:P574))/3, 0)</f>
        <v>0</v>
      </c>
      <c r="R574" s="10"/>
      <c r="S574" s="11" t="str">
        <f t="shared" si="67"/>
        <v/>
      </c>
      <c r="T574" s="7"/>
      <c r="U574" s="7"/>
      <c r="V574" s="7"/>
      <c r="W574" s="7"/>
      <c r="X574" s="7"/>
      <c r="Y574" s="7"/>
      <c r="Z574" s="15"/>
      <c r="AA574" s="15"/>
      <c r="AB574" s="11" t="str">
        <f t="shared" si="68"/>
        <v/>
      </c>
      <c r="AC574" s="11"/>
      <c r="AD574" s="11"/>
      <c r="AE574" s="11"/>
      <c r="AF574" s="11"/>
      <c r="AG574" s="11"/>
      <c r="AH574" s="11"/>
      <c r="AI574" s="11"/>
      <c r="AJ574" s="15"/>
      <c r="AK574" s="15"/>
      <c r="AL574" s="14">
        <f t="shared" si="69"/>
        <v>3</v>
      </c>
      <c r="AM574" s="11">
        <f t="shared" si="70"/>
        <v>3</v>
      </c>
      <c r="AN574" s="14">
        <f t="shared" si="71"/>
        <v>3</v>
      </c>
      <c r="AO574" s="15"/>
      <c r="AP574" s="15"/>
      <c r="AQ574" s="15"/>
    </row>
    <row r="575" spans="1:43" ht="51" hidden="1" x14ac:dyDescent="0.2">
      <c r="A575" s="7">
        <v>574</v>
      </c>
      <c r="B575" s="19" t="s">
        <v>1207</v>
      </c>
      <c r="C575" s="19" t="s">
        <v>1208</v>
      </c>
      <c r="D575" s="8" t="s">
        <v>34</v>
      </c>
      <c r="E575" s="19" t="s">
        <v>269</v>
      </c>
      <c r="F575" s="8" t="s">
        <v>36</v>
      </c>
      <c r="G575" s="7" t="s">
        <v>59</v>
      </c>
      <c r="H575" s="9" t="s">
        <v>44</v>
      </c>
      <c r="I575" s="10"/>
      <c r="J575" s="10" t="s">
        <v>40</v>
      </c>
      <c r="K575" s="10" t="s">
        <v>40</v>
      </c>
      <c r="L575" s="10" t="s">
        <v>40</v>
      </c>
      <c r="M575">
        <v>0</v>
      </c>
      <c r="N575">
        <v>0</v>
      </c>
      <c r="O575">
        <v>0</v>
      </c>
      <c r="P575" s="10" t="s">
        <v>44</v>
      </c>
      <c r="Q575" s="10">
        <f t="array" ref="Q575">IFERROR(SUMPRODUCT((N575:P575&gt;0)*(N575:P575))/3, 0)</f>
        <v>0</v>
      </c>
      <c r="R575" s="10"/>
      <c r="S575" s="11" t="str">
        <f t="shared" si="67"/>
        <v/>
      </c>
      <c r="T575" s="7"/>
      <c r="U575" s="7"/>
      <c r="V575" s="7"/>
      <c r="W575" s="7"/>
      <c r="X575" s="7"/>
      <c r="Y575" s="7"/>
      <c r="Z575" s="15"/>
      <c r="AA575" s="15"/>
      <c r="AB575" s="11" t="str">
        <f t="shared" si="68"/>
        <v/>
      </c>
      <c r="AC575" s="11"/>
      <c r="AD575" s="11"/>
      <c r="AE575" s="11"/>
      <c r="AF575" s="11"/>
      <c r="AG575" s="11"/>
      <c r="AH575" s="11"/>
      <c r="AI575" s="11"/>
      <c r="AJ575" s="15"/>
      <c r="AK575" s="15"/>
      <c r="AL575" s="14">
        <f t="shared" si="69"/>
        <v>3</v>
      </c>
      <c r="AM575" s="11">
        <f t="shared" si="70"/>
        <v>3</v>
      </c>
      <c r="AN575" s="14">
        <f t="shared" si="71"/>
        <v>3</v>
      </c>
      <c r="AO575" s="15"/>
      <c r="AP575" s="15"/>
      <c r="AQ575" s="15"/>
    </row>
    <row r="576" spans="1:43" ht="34" hidden="1" x14ac:dyDescent="0.2">
      <c r="A576" s="7">
        <v>575</v>
      </c>
      <c r="B576" s="19" t="s">
        <v>1209</v>
      </c>
      <c r="C576" s="19" t="s">
        <v>1210</v>
      </c>
      <c r="D576" s="8" t="s">
        <v>34</v>
      </c>
      <c r="E576" s="19" t="s">
        <v>269</v>
      </c>
      <c r="F576" s="8" t="s">
        <v>36</v>
      </c>
      <c r="G576" s="7" t="s">
        <v>59</v>
      </c>
      <c r="H576" s="9" t="s">
        <v>44</v>
      </c>
      <c r="I576" s="10"/>
      <c r="J576" s="10" t="s">
        <v>40</v>
      </c>
      <c r="K576" s="10" t="s">
        <v>40</v>
      </c>
      <c r="L576" s="10" t="s">
        <v>40</v>
      </c>
      <c r="M576">
        <v>0</v>
      </c>
      <c r="N576">
        <v>0</v>
      </c>
      <c r="O576">
        <v>0</v>
      </c>
      <c r="P576" s="10" t="s">
        <v>44</v>
      </c>
      <c r="Q576" s="10">
        <f t="array" ref="Q576">IFERROR(SUMPRODUCT((N576:P576&gt;0)*(N576:P576))/3, 0)</f>
        <v>0</v>
      </c>
      <c r="R576" s="10"/>
      <c r="S576" s="11" t="str">
        <f t="shared" si="67"/>
        <v/>
      </c>
      <c r="T576" s="7"/>
      <c r="U576" s="7"/>
      <c r="V576" s="7"/>
      <c r="W576" s="7"/>
      <c r="X576" s="7"/>
      <c r="Y576" s="7"/>
      <c r="Z576" s="15"/>
      <c r="AA576" s="15"/>
      <c r="AB576" s="11" t="str">
        <f t="shared" si="68"/>
        <v/>
      </c>
      <c r="AC576" s="11"/>
      <c r="AD576" s="11"/>
      <c r="AE576" s="11"/>
      <c r="AF576" s="11"/>
      <c r="AG576" s="11"/>
      <c r="AH576" s="11"/>
      <c r="AI576" s="11"/>
      <c r="AJ576" s="15"/>
      <c r="AK576" s="15"/>
      <c r="AL576" s="14">
        <f t="shared" si="69"/>
        <v>3</v>
      </c>
      <c r="AM576" s="11">
        <f t="shared" si="70"/>
        <v>3</v>
      </c>
      <c r="AN576" s="14">
        <f t="shared" si="71"/>
        <v>3</v>
      </c>
      <c r="AO576" s="15"/>
      <c r="AP576" s="15"/>
      <c r="AQ576" s="15"/>
    </row>
    <row r="577" spans="1:43" ht="51" hidden="1" x14ac:dyDescent="0.2">
      <c r="A577" s="7">
        <v>576</v>
      </c>
      <c r="B577" s="19" t="s">
        <v>1211</v>
      </c>
      <c r="C577" s="19" t="s">
        <v>1212</v>
      </c>
      <c r="D577" s="8" t="s">
        <v>34</v>
      </c>
      <c r="E577" s="19" t="s">
        <v>269</v>
      </c>
      <c r="F577" s="8" t="s">
        <v>36</v>
      </c>
      <c r="G577" s="7" t="s">
        <v>59</v>
      </c>
      <c r="H577" s="9" t="s">
        <v>44</v>
      </c>
      <c r="I577" s="10"/>
      <c r="J577" s="10" t="s">
        <v>40</v>
      </c>
      <c r="K577" s="10" t="s">
        <v>40</v>
      </c>
      <c r="L577" s="10" t="s">
        <v>40</v>
      </c>
      <c r="M577">
        <v>0</v>
      </c>
      <c r="N577">
        <v>0</v>
      </c>
      <c r="O577">
        <v>0</v>
      </c>
      <c r="P577" s="10" t="s">
        <v>44</v>
      </c>
      <c r="Q577" s="10">
        <f t="array" ref="Q577">IFERROR(SUMPRODUCT((N577:P577&gt;0)*(N577:P577))/3, 0)</f>
        <v>0</v>
      </c>
      <c r="R577" s="10"/>
      <c r="S577" s="11" t="str">
        <f t="shared" si="67"/>
        <v/>
      </c>
      <c r="T577" s="7"/>
      <c r="U577" s="7"/>
      <c r="V577" s="7"/>
      <c r="W577" s="7"/>
      <c r="X577" s="7"/>
      <c r="Y577" s="7"/>
      <c r="Z577" s="15"/>
      <c r="AA577" s="15"/>
      <c r="AB577" s="11" t="str">
        <f t="shared" si="68"/>
        <v/>
      </c>
      <c r="AC577" s="11"/>
      <c r="AD577" s="11"/>
      <c r="AE577" s="11"/>
      <c r="AF577" s="11"/>
      <c r="AG577" s="11"/>
      <c r="AH577" s="11"/>
      <c r="AI577" s="11"/>
      <c r="AJ577" s="15"/>
      <c r="AK577" s="15"/>
      <c r="AL577" s="14">
        <f t="shared" si="69"/>
        <v>3</v>
      </c>
      <c r="AM577" s="11">
        <f t="shared" si="70"/>
        <v>3</v>
      </c>
      <c r="AN577" s="14">
        <f t="shared" si="71"/>
        <v>3</v>
      </c>
      <c r="AO577" s="15"/>
      <c r="AP577" s="15"/>
      <c r="AQ577" s="15"/>
    </row>
    <row r="578" spans="1:43" ht="34" hidden="1" x14ac:dyDescent="0.2">
      <c r="A578" s="7">
        <v>577</v>
      </c>
      <c r="B578" s="19" t="s">
        <v>1213</v>
      </c>
      <c r="C578" s="19" t="s">
        <v>1214</v>
      </c>
      <c r="D578" s="8" t="s">
        <v>34</v>
      </c>
      <c r="E578" s="19" t="s">
        <v>269</v>
      </c>
      <c r="F578" s="8" t="s">
        <v>36</v>
      </c>
      <c r="G578" s="7" t="s">
        <v>59</v>
      </c>
      <c r="H578" s="9" t="s">
        <v>44</v>
      </c>
      <c r="I578" s="10"/>
      <c r="J578" s="10" t="s">
        <v>40</v>
      </c>
      <c r="K578" s="10" t="s">
        <v>40</v>
      </c>
      <c r="L578" s="10" t="s">
        <v>40</v>
      </c>
      <c r="M578">
        <v>0</v>
      </c>
      <c r="N578">
        <v>0</v>
      </c>
      <c r="O578">
        <v>0</v>
      </c>
      <c r="P578" s="10" t="s">
        <v>44</v>
      </c>
      <c r="Q578" s="10">
        <f t="array" ref="Q578">IFERROR(SUMPRODUCT((N578:P578&gt;0)*(N578:P578))/3, 0)</f>
        <v>0</v>
      </c>
      <c r="R578" s="10"/>
      <c r="S578" s="11" t="str">
        <f t="shared" si="67"/>
        <v/>
      </c>
      <c r="T578" s="7"/>
      <c r="U578" s="7"/>
      <c r="V578" s="7"/>
      <c r="W578" s="7"/>
      <c r="X578" s="7"/>
      <c r="Y578" s="7"/>
      <c r="Z578" s="15"/>
      <c r="AA578" s="15"/>
      <c r="AB578" s="11" t="str">
        <f t="shared" si="68"/>
        <v/>
      </c>
      <c r="AC578" s="11"/>
      <c r="AD578" s="11"/>
      <c r="AE578" s="11"/>
      <c r="AF578" s="11"/>
      <c r="AG578" s="11"/>
      <c r="AH578" s="11"/>
      <c r="AI578" s="11"/>
      <c r="AJ578" s="15"/>
      <c r="AK578" s="15"/>
      <c r="AL578" s="14">
        <f t="shared" si="69"/>
        <v>3</v>
      </c>
      <c r="AM578" s="11">
        <f t="shared" si="70"/>
        <v>3</v>
      </c>
      <c r="AN578" s="14">
        <f t="shared" si="71"/>
        <v>3</v>
      </c>
      <c r="AO578" s="15"/>
      <c r="AP578" s="15"/>
      <c r="AQ578" s="15"/>
    </row>
    <row r="579" spans="1:43" ht="34" hidden="1" x14ac:dyDescent="0.2">
      <c r="A579" s="7">
        <v>578</v>
      </c>
      <c r="B579" s="19" t="s">
        <v>1215</v>
      </c>
      <c r="C579" s="19" t="s">
        <v>1216</v>
      </c>
      <c r="D579" s="8" t="s">
        <v>34</v>
      </c>
      <c r="E579" s="19" t="s">
        <v>269</v>
      </c>
      <c r="F579" s="8" t="s">
        <v>36</v>
      </c>
      <c r="G579" s="7" t="s">
        <v>59</v>
      </c>
      <c r="H579" s="9" t="s">
        <v>44</v>
      </c>
      <c r="I579" s="10"/>
      <c r="J579" s="10" t="s">
        <v>40</v>
      </c>
      <c r="K579" s="10" t="s">
        <v>40</v>
      </c>
      <c r="L579" s="10" t="s">
        <v>40</v>
      </c>
      <c r="M579">
        <v>0</v>
      </c>
      <c r="N579">
        <v>0</v>
      </c>
      <c r="O579">
        <v>0</v>
      </c>
      <c r="P579" s="10" t="s">
        <v>44</v>
      </c>
      <c r="Q579" s="10">
        <f t="array" ref="Q579">IFERROR(SUMPRODUCT((N579:P579&gt;0)*(N579:P579))/3, 0)</f>
        <v>0</v>
      </c>
      <c r="R579" s="10"/>
      <c r="S579" s="11" t="str">
        <f t="shared" ref="S579:S635" si="72">IF(Q579&gt;0,LOG10(Q579+1),"")</f>
        <v/>
      </c>
      <c r="T579" s="7"/>
      <c r="U579" s="7"/>
      <c r="V579" s="7"/>
      <c r="W579" s="7"/>
      <c r="X579" s="7"/>
      <c r="Y579" s="7"/>
      <c r="Z579" s="15"/>
      <c r="AA579" s="15"/>
      <c r="AB579" s="11" t="str">
        <f t="shared" ref="AB579:AB635" si="73">IF(AA579&gt;0,LOG10(AA579+1),"")</f>
        <v/>
      </c>
      <c r="AC579" s="11"/>
      <c r="AD579" s="11"/>
      <c r="AE579" s="11"/>
      <c r="AF579" s="11"/>
      <c r="AG579" s="11"/>
      <c r="AH579" s="11"/>
      <c r="AI579" s="11"/>
      <c r="AJ579" s="15"/>
      <c r="AK579" s="15"/>
      <c r="AL579" s="14">
        <f t="shared" ref="AL579:AL635" si="74">IF(W579&gt;=5,9,IF(W579 &gt;=3,7,IF(W579=0,3,5)))</f>
        <v>3</v>
      </c>
      <c r="AM579" s="11">
        <f t="shared" ref="AM579:AM635" si="75">IF(I579&lt;4,3,IF(I579&lt;6,5,IF(I579&lt;11,7,9)))</f>
        <v>3</v>
      </c>
      <c r="AN579" s="14">
        <f t="shared" ref="AN579:AN635" si="76">IF(AB579=0,"3",
 IF(AB579="",3,
 IF(AB579&lt;=_xlfn.PERCENTILE.INC($AB$2:$AB$105,0.25),3,
 IF(AB579&lt;=_xlfn.PERCENTILE.INC($AB$2:$AB$105,0.5),5,
 IF(AB579&lt;=_xlfn.PERCENTILE.INC($AB$2:$AB$105,0.75),7,
 9)))))</f>
        <v>3</v>
      </c>
      <c r="AO579" s="15"/>
      <c r="AP579" s="15"/>
      <c r="AQ579" s="15"/>
    </row>
    <row r="580" spans="1:43" ht="34" hidden="1" x14ac:dyDescent="0.2">
      <c r="A580" s="7">
        <v>579</v>
      </c>
      <c r="B580" s="19" t="s">
        <v>1217</v>
      </c>
      <c r="C580" s="19" t="s">
        <v>1218</v>
      </c>
      <c r="D580" s="8" t="s">
        <v>34</v>
      </c>
      <c r="E580" s="19" t="s">
        <v>269</v>
      </c>
      <c r="F580" s="8" t="s">
        <v>36</v>
      </c>
      <c r="G580" s="7" t="s">
        <v>59</v>
      </c>
      <c r="H580" s="9" t="s">
        <v>44</v>
      </c>
      <c r="I580" s="10"/>
      <c r="J580" s="10" t="s">
        <v>40</v>
      </c>
      <c r="K580" s="10" t="s">
        <v>40</v>
      </c>
      <c r="L580" s="10" t="s">
        <v>40</v>
      </c>
      <c r="M580">
        <v>0</v>
      </c>
      <c r="N580">
        <v>0</v>
      </c>
      <c r="O580">
        <v>0</v>
      </c>
      <c r="P580" s="10" t="s">
        <v>44</v>
      </c>
      <c r="Q580" s="10">
        <f t="array" ref="Q580">IFERROR(SUMPRODUCT((N580:P580&gt;0)*(N580:P580))/3, 0)</f>
        <v>0</v>
      </c>
      <c r="R580" s="10"/>
      <c r="S580" s="11" t="str">
        <f t="shared" si="72"/>
        <v/>
      </c>
      <c r="T580" s="7"/>
      <c r="U580" s="7"/>
      <c r="V580" s="7"/>
      <c r="W580" s="7"/>
      <c r="X580" s="7"/>
      <c r="Y580" s="7"/>
      <c r="Z580" s="15"/>
      <c r="AA580" s="15"/>
      <c r="AB580" s="11" t="str">
        <f t="shared" si="73"/>
        <v/>
      </c>
      <c r="AC580" s="11"/>
      <c r="AD580" s="11"/>
      <c r="AE580" s="11"/>
      <c r="AF580" s="11"/>
      <c r="AG580" s="11"/>
      <c r="AH580" s="11"/>
      <c r="AI580" s="11"/>
      <c r="AJ580" s="15"/>
      <c r="AK580" s="15"/>
      <c r="AL580" s="14">
        <f t="shared" si="74"/>
        <v>3</v>
      </c>
      <c r="AM580" s="11">
        <f t="shared" si="75"/>
        <v>3</v>
      </c>
      <c r="AN580" s="14">
        <f t="shared" si="76"/>
        <v>3</v>
      </c>
      <c r="AO580" s="15"/>
      <c r="AP580" s="15"/>
      <c r="AQ580" s="15"/>
    </row>
    <row r="581" spans="1:43" ht="34" hidden="1" x14ac:dyDescent="0.2">
      <c r="A581" s="7">
        <v>580</v>
      </c>
      <c r="B581" s="19" t="s">
        <v>1219</v>
      </c>
      <c r="C581" s="19" t="s">
        <v>1220</v>
      </c>
      <c r="D581" s="8" t="s">
        <v>34</v>
      </c>
      <c r="E581" s="19" t="s">
        <v>269</v>
      </c>
      <c r="F581" s="8" t="s">
        <v>36</v>
      </c>
      <c r="G581" s="7" t="s">
        <v>59</v>
      </c>
      <c r="H581" s="9" t="s">
        <v>44</v>
      </c>
      <c r="I581" s="10"/>
      <c r="J581" s="10" t="s">
        <v>40</v>
      </c>
      <c r="K581" s="10" t="s">
        <v>40</v>
      </c>
      <c r="L581" s="10" t="s">
        <v>40</v>
      </c>
      <c r="M581">
        <v>0</v>
      </c>
      <c r="N581">
        <v>0</v>
      </c>
      <c r="O581">
        <v>0</v>
      </c>
      <c r="P581" s="10" t="s">
        <v>44</v>
      </c>
      <c r="Q581" s="10">
        <f t="array" ref="Q581">IFERROR(SUMPRODUCT((N581:P581&gt;0)*(N581:P581))/3, 0)</f>
        <v>0</v>
      </c>
      <c r="R581" s="10"/>
      <c r="S581" s="11" t="str">
        <f t="shared" si="72"/>
        <v/>
      </c>
      <c r="T581" s="7"/>
      <c r="U581" s="7"/>
      <c r="V581" s="7"/>
      <c r="W581" s="7"/>
      <c r="X581" s="7"/>
      <c r="Y581" s="7"/>
      <c r="Z581" s="15"/>
      <c r="AA581" s="15"/>
      <c r="AB581" s="11" t="str">
        <f t="shared" si="73"/>
        <v/>
      </c>
      <c r="AC581" s="11"/>
      <c r="AD581" s="11"/>
      <c r="AE581" s="11"/>
      <c r="AF581" s="11"/>
      <c r="AG581" s="11"/>
      <c r="AH581" s="11"/>
      <c r="AI581" s="11"/>
      <c r="AJ581" s="15"/>
      <c r="AK581" s="15"/>
      <c r="AL581" s="14">
        <f t="shared" si="74"/>
        <v>3</v>
      </c>
      <c r="AM581" s="11">
        <f t="shared" si="75"/>
        <v>3</v>
      </c>
      <c r="AN581" s="14">
        <f t="shared" si="76"/>
        <v>3</v>
      </c>
      <c r="AO581" s="15"/>
      <c r="AP581" s="15"/>
      <c r="AQ581" s="15"/>
    </row>
    <row r="582" spans="1:43" ht="51" hidden="1" x14ac:dyDescent="0.2">
      <c r="A582" s="7">
        <v>581</v>
      </c>
      <c r="B582" s="19" t="s">
        <v>1221</v>
      </c>
      <c r="C582" s="19" t="s">
        <v>1222</v>
      </c>
      <c r="D582" s="8" t="s">
        <v>34</v>
      </c>
      <c r="E582" s="19" t="s">
        <v>269</v>
      </c>
      <c r="F582" s="8" t="s">
        <v>36</v>
      </c>
      <c r="G582" s="7" t="s">
        <v>59</v>
      </c>
      <c r="H582" s="9" t="s">
        <v>44</v>
      </c>
      <c r="I582" s="10"/>
      <c r="J582" s="10" t="s">
        <v>40</v>
      </c>
      <c r="K582" s="10" t="s">
        <v>40</v>
      </c>
      <c r="L582" s="10" t="s">
        <v>40</v>
      </c>
      <c r="M582">
        <v>0</v>
      </c>
      <c r="N582">
        <v>0</v>
      </c>
      <c r="O582">
        <v>0</v>
      </c>
      <c r="P582" s="10" t="s">
        <v>44</v>
      </c>
      <c r="Q582" s="10">
        <f t="array" ref="Q582">IFERROR(SUMPRODUCT((N582:P582&gt;0)*(N582:P582))/3, 0)</f>
        <v>0</v>
      </c>
      <c r="R582" s="10"/>
      <c r="S582" s="11" t="str">
        <f t="shared" si="72"/>
        <v/>
      </c>
      <c r="T582" s="7"/>
      <c r="U582" s="7"/>
      <c r="V582" s="7"/>
      <c r="W582" s="7"/>
      <c r="X582" s="7"/>
      <c r="Y582" s="7"/>
      <c r="Z582" s="15"/>
      <c r="AA582" s="15"/>
      <c r="AB582" s="11" t="str">
        <f t="shared" si="73"/>
        <v/>
      </c>
      <c r="AC582" s="11"/>
      <c r="AD582" s="11"/>
      <c r="AE582" s="11"/>
      <c r="AF582" s="11"/>
      <c r="AG582" s="11"/>
      <c r="AH582" s="11"/>
      <c r="AI582" s="11"/>
      <c r="AJ582" s="15"/>
      <c r="AK582" s="15"/>
      <c r="AL582" s="14">
        <f t="shared" si="74"/>
        <v>3</v>
      </c>
      <c r="AM582" s="11">
        <f t="shared" si="75"/>
        <v>3</v>
      </c>
      <c r="AN582" s="14">
        <f t="shared" si="76"/>
        <v>3</v>
      </c>
      <c r="AO582" s="15"/>
      <c r="AP582" s="15"/>
      <c r="AQ582" s="15"/>
    </row>
    <row r="583" spans="1:43" ht="34" hidden="1" x14ac:dyDescent="0.2">
      <c r="A583" s="7">
        <v>582</v>
      </c>
      <c r="B583" s="19" t="s">
        <v>1223</v>
      </c>
      <c r="C583" s="19" t="s">
        <v>1224</v>
      </c>
      <c r="D583" s="8" t="s">
        <v>34</v>
      </c>
      <c r="E583" s="19" t="s">
        <v>269</v>
      </c>
      <c r="F583" s="8" t="s">
        <v>36</v>
      </c>
      <c r="G583" s="7" t="s">
        <v>59</v>
      </c>
      <c r="H583" s="9" t="s">
        <v>44</v>
      </c>
      <c r="I583" s="10"/>
      <c r="J583" s="10" t="s">
        <v>40</v>
      </c>
      <c r="K583" s="10" t="s">
        <v>40</v>
      </c>
      <c r="L583" s="10" t="s">
        <v>40</v>
      </c>
      <c r="M583">
        <v>0</v>
      </c>
      <c r="N583">
        <v>0</v>
      </c>
      <c r="O583">
        <v>0</v>
      </c>
      <c r="P583" s="10" t="s">
        <v>44</v>
      </c>
      <c r="Q583" s="10">
        <f t="array" ref="Q583">IFERROR(SUMPRODUCT((N583:P583&gt;0)*(N583:P583))/3, 0)</f>
        <v>0</v>
      </c>
      <c r="R583" s="10"/>
      <c r="S583" s="11" t="str">
        <f t="shared" si="72"/>
        <v/>
      </c>
      <c r="T583" s="7"/>
      <c r="U583" s="7"/>
      <c r="V583" s="7"/>
      <c r="W583" s="7"/>
      <c r="X583" s="7"/>
      <c r="Y583" s="7"/>
      <c r="Z583" s="15"/>
      <c r="AA583" s="15"/>
      <c r="AB583" s="11" t="str">
        <f t="shared" si="73"/>
        <v/>
      </c>
      <c r="AC583" s="11"/>
      <c r="AD583" s="11"/>
      <c r="AE583" s="11"/>
      <c r="AF583" s="11"/>
      <c r="AG583" s="11"/>
      <c r="AH583" s="11"/>
      <c r="AI583" s="11"/>
      <c r="AJ583" s="15"/>
      <c r="AK583" s="15"/>
      <c r="AL583" s="14">
        <f t="shared" si="74"/>
        <v>3</v>
      </c>
      <c r="AM583" s="11">
        <f t="shared" si="75"/>
        <v>3</v>
      </c>
      <c r="AN583" s="14">
        <f t="shared" si="76"/>
        <v>3</v>
      </c>
      <c r="AO583" s="15"/>
      <c r="AP583" s="15"/>
      <c r="AQ583" s="15"/>
    </row>
    <row r="584" spans="1:43" ht="51" hidden="1" x14ac:dyDescent="0.2">
      <c r="A584" s="7">
        <v>583</v>
      </c>
      <c r="B584" s="19" t="s">
        <v>1225</v>
      </c>
      <c r="C584" s="19" t="s">
        <v>1226</v>
      </c>
      <c r="D584" s="8" t="s">
        <v>34</v>
      </c>
      <c r="E584" s="19" t="s">
        <v>269</v>
      </c>
      <c r="F584" s="8" t="s">
        <v>36</v>
      </c>
      <c r="G584" s="7" t="s">
        <v>59</v>
      </c>
      <c r="H584" s="9" t="s">
        <v>44</v>
      </c>
      <c r="I584" s="10"/>
      <c r="J584" s="10" t="s">
        <v>40</v>
      </c>
      <c r="K584" s="10" t="s">
        <v>40</v>
      </c>
      <c r="L584" s="10" t="s">
        <v>40</v>
      </c>
      <c r="M584">
        <v>0</v>
      </c>
      <c r="N584">
        <v>0</v>
      </c>
      <c r="O584">
        <v>0</v>
      </c>
      <c r="P584" s="10" t="s">
        <v>44</v>
      </c>
      <c r="Q584" s="10">
        <f t="array" ref="Q584">IFERROR(SUMPRODUCT((N584:P584&gt;0)*(N584:P584))/3, 0)</f>
        <v>0</v>
      </c>
      <c r="R584" s="10"/>
      <c r="S584" s="11" t="str">
        <f t="shared" si="72"/>
        <v/>
      </c>
      <c r="T584" s="7"/>
      <c r="U584" s="7"/>
      <c r="V584" s="7"/>
      <c r="W584" s="7"/>
      <c r="X584" s="7"/>
      <c r="Y584" s="7"/>
      <c r="Z584" s="15"/>
      <c r="AA584" s="15"/>
      <c r="AB584" s="11" t="str">
        <f t="shared" si="73"/>
        <v/>
      </c>
      <c r="AC584" s="11"/>
      <c r="AD584" s="11"/>
      <c r="AE584" s="11"/>
      <c r="AF584" s="11"/>
      <c r="AG584" s="11"/>
      <c r="AH584" s="11"/>
      <c r="AI584" s="11"/>
      <c r="AJ584" s="15"/>
      <c r="AK584" s="15"/>
      <c r="AL584" s="14">
        <f t="shared" si="74"/>
        <v>3</v>
      </c>
      <c r="AM584" s="11">
        <f t="shared" si="75"/>
        <v>3</v>
      </c>
      <c r="AN584" s="14">
        <f t="shared" si="76"/>
        <v>3</v>
      </c>
      <c r="AO584" s="15"/>
      <c r="AP584" s="15"/>
      <c r="AQ584" s="15"/>
    </row>
    <row r="585" spans="1:43" ht="51" hidden="1" x14ac:dyDescent="0.2">
      <c r="A585" s="7">
        <v>584</v>
      </c>
      <c r="B585" s="19" t="s">
        <v>1227</v>
      </c>
      <c r="C585" s="19" t="s">
        <v>1228</v>
      </c>
      <c r="D585" s="8" t="s">
        <v>34</v>
      </c>
      <c r="E585" s="19" t="s">
        <v>269</v>
      </c>
      <c r="F585" s="8" t="s">
        <v>36</v>
      </c>
      <c r="G585" s="7" t="s">
        <v>59</v>
      </c>
      <c r="H585" s="9" t="s">
        <v>44</v>
      </c>
      <c r="I585" s="10"/>
      <c r="J585" s="10" t="s">
        <v>40</v>
      </c>
      <c r="K585" s="10" t="s">
        <v>40</v>
      </c>
      <c r="L585" s="10" t="s">
        <v>40</v>
      </c>
      <c r="M585">
        <v>0</v>
      </c>
      <c r="N585">
        <v>0</v>
      </c>
      <c r="O585">
        <v>0</v>
      </c>
      <c r="P585" s="10" t="s">
        <v>44</v>
      </c>
      <c r="Q585" s="10">
        <f t="array" ref="Q585">IFERROR(SUMPRODUCT((N585:P585&gt;0)*(N585:P585))/3, 0)</f>
        <v>0</v>
      </c>
      <c r="R585" s="10"/>
      <c r="S585" s="11" t="str">
        <f t="shared" si="72"/>
        <v/>
      </c>
      <c r="T585" s="7"/>
      <c r="U585" s="7"/>
      <c r="V585" s="7"/>
      <c r="W585" s="7"/>
      <c r="X585" s="7"/>
      <c r="Y585" s="7"/>
      <c r="Z585" s="15"/>
      <c r="AA585" s="15"/>
      <c r="AB585" s="11" t="str">
        <f t="shared" si="73"/>
        <v/>
      </c>
      <c r="AC585" s="11"/>
      <c r="AD585" s="11"/>
      <c r="AE585" s="11"/>
      <c r="AF585" s="11"/>
      <c r="AG585" s="11"/>
      <c r="AH585" s="11"/>
      <c r="AI585" s="11"/>
      <c r="AJ585" s="15"/>
      <c r="AK585" s="15"/>
      <c r="AL585" s="14">
        <f t="shared" si="74"/>
        <v>3</v>
      </c>
      <c r="AM585" s="11">
        <f t="shared" si="75"/>
        <v>3</v>
      </c>
      <c r="AN585" s="14">
        <f t="shared" si="76"/>
        <v>3</v>
      </c>
      <c r="AO585" s="15"/>
      <c r="AP585" s="15"/>
      <c r="AQ585" s="15"/>
    </row>
    <row r="586" spans="1:43" ht="51" hidden="1" x14ac:dyDescent="0.2">
      <c r="A586" s="7">
        <v>585</v>
      </c>
      <c r="B586" s="19" t="s">
        <v>1229</v>
      </c>
      <c r="C586" s="19" t="s">
        <v>1230</v>
      </c>
      <c r="D586" s="8" t="s">
        <v>34</v>
      </c>
      <c r="E586" s="19" t="s">
        <v>269</v>
      </c>
      <c r="F586" s="8" t="s">
        <v>36</v>
      </c>
      <c r="G586" s="7" t="s">
        <v>59</v>
      </c>
      <c r="H586" s="9" t="s">
        <v>44</v>
      </c>
      <c r="I586" s="10"/>
      <c r="J586" s="10" t="s">
        <v>40</v>
      </c>
      <c r="K586" s="10" t="s">
        <v>40</v>
      </c>
      <c r="L586" s="10" t="s">
        <v>40</v>
      </c>
      <c r="M586">
        <v>0</v>
      </c>
      <c r="N586">
        <v>0</v>
      </c>
      <c r="O586">
        <v>0</v>
      </c>
      <c r="P586" s="10" t="s">
        <v>44</v>
      </c>
      <c r="Q586" s="10">
        <f t="array" ref="Q586">IFERROR(SUMPRODUCT((N586:P586&gt;0)*(N586:P586))/3, 0)</f>
        <v>0</v>
      </c>
      <c r="R586" s="10"/>
      <c r="S586" s="11" t="str">
        <f t="shared" si="72"/>
        <v/>
      </c>
      <c r="T586" s="7"/>
      <c r="U586" s="7"/>
      <c r="V586" s="7"/>
      <c r="W586" s="7"/>
      <c r="X586" s="7"/>
      <c r="Y586" s="7"/>
      <c r="Z586" s="15"/>
      <c r="AA586" s="15"/>
      <c r="AB586" s="11" t="str">
        <f t="shared" si="73"/>
        <v/>
      </c>
      <c r="AC586" s="11"/>
      <c r="AD586" s="11"/>
      <c r="AE586" s="11"/>
      <c r="AF586" s="11"/>
      <c r="AG586" s="11"/>
      <c r="AH586" s="11"/>
      <c r="AI586" s="11"/>
      <c r="AJ586" s="15"/>
      <c r="AK586" s="15"/>
      <c r="AL586" s="14">
        <f t="shared" si="74"/>
        <v>3</v>
      </c>
      <c r="AM586" s="11">
        <f t="shared" si="75"/>
        <v>3</v>
      </c>
      <c r="AN586" s="14">
        <f t="shared" si="76"/>
        <v>3</v>
      </c>
      <c r="AO586" s="15"/>
      <c r="AP586" s="15"/>
      <c r="AQ586" s="15"/>
    </row>
    <row r="587" spans="1:43" ht="34" hidden="1" x14ac:dyDescent="0.2">
      <c r="A587" s="7">
        <v>586</v>
      </c>
      <c r="B587" s="19" t="s">
        <v>1231</v>
      </c>
      <c r="C587" s="19" t="s">
        <v>1232</v>
      </c>
      <c r="D587" s="8" t="s">
        <v>34</v>
      </c>
      <c r="E587" s="19" t="s">
        <v>269</v>
      </c>
      <c r="F587" s="8" t="s">
        <v>36</v>
      </c>
      <c r="G587" s="7" t="s">
        <v>59</v>
      </c>
      <c r="H587" s="9" t="s">
        <v>44</v>
      </c>
      <c r="I587" s="10"/>
      <c r="J587" s="10" t="s">
        <v>40</v>
      </c>
      <c r="K587" s="10" t="s">
        <v>40</v>
      </c>
      <c r="L587" s="10" t="s">
        <v>40</v>
      </c>
      <c r="M587">
        <v>0</v>
      </c>
      <c r="N587">
        <v>0</v>
      </c>
      <c r="O587">
        <v>0</v>
      </c>
      <c r="P587" s="10" t="s">
        <v>44</v>
      </c>
      <c r="Q587" s="10">
        <f t="array" ref="Q587">IFERROR(SUMPRODUCT((N587:P587&gt;0)*(N587:P587))/3, 0)</f>
        <v>0</v>
      </c>
      <c r="R587" s="10"/>
      <c r="S587" s="11" t="str">
        <f t="shared" si="72"/>
        <v/>
      </c>
      <c r="T587" s="7"/>
      <c r="U587" s="7"/>
      <c r="V587" s="7"/>
      <c r="W587" s="7"/>
      <c r="X587" s="7"/>
      <c r="Y587" s="7"/>
      <c r="Z587" s="15"/>
      <c r="AA587" s="15"/>
      <c r="AB587" s="11" t="str">
        <f t="shared" si="73"/>
        <v/>
      </c>
      <c r="AC587" s="11"/>
      <c r="AD587" s="11"/>
      <c r="AE587" s="11"/>
      <c r="AF587" s="11"/>
      <c r="AG587" s="11"/>
      <c r="AH587" s="11"/>
      <c r="AI587" s="11"/>
      <c r="AJ587" s="15"/>
      <c r="AK587" s="15"/>
      <c r="AL587" s="14">
        <f t="shared" si="74"/>
        <v>3</v>
      </c>
      <c r="AM587" s="11">
        <f t="shared" si="75"/>
        <v>3</v>
      </c>
      <c r="AN587" s="14">
        <f t="shared" si="76"/>
        <v>3</v>
      </c>
      <c r="AO587" s="15"/>
      <c r="AP587" s="15"/>
      <c r="AQ587" s="15"/>
    </row>
    <row r="588" spans="1:43" ht="34" hidden="1" x14ac:dyDescent="0.2">
      <c r="A588" s="7">
        <v>587</v>
      </c>
      <c r="B588" s="19" t="s">
        <v>1233</v>
      </c>
      <c r="C588" s="19" t="s">
        <v>1234</v>
      </c>
      <c r="D588" s="8" t="s">
        <v>34</v>
      </c>
      <c r="E588" s="19" t="s">
        <v>269</v>
      </c>
      <c r="F588" s="8" t="s">
        <v>36</v>
      </c>
      <c r="G588" s="7" t="s">
        <v>59</v>
      </c>
      <c r="H588" s="9" t="s">
        <v>44</v>
      </c>
      <c r="I588" s="10"/>
      <c r="J588" s="10" t="s">
        <v>40</v>
      </c>
      <c r="K588" s="10" t="s">
        <v>40</v>
      </c>
      <c r="L588" s="10" t="s">
        <v>40</v>
      </c>
      <c r="M588">
        <v>0</v>
      </c>
      <c r="N588">
        <v>0</v>
      </c>
      <c r="O588">
        <v>0</v>
      </c>
      <c r="P588" s="10" t="s">
        <v>44</v>
      </c>
      <c r="Q588" s="10">
        <f t="array" ref="Q588">IFERROR(SUMPRODUCT((N588:P588&gt;0)*(N588:P588))/3, 0)</f>
        <v>0</v>
      </c>
      <c r="R588" s="10"/>
      <c r="S588" s="11" t="str">
        <f t="shared" si="72"/>
        <v/>
      </c>
      <c r="T588" s="7"/>
      <c r="U588" s="7"/>
      <c r="V588" s="7"/>
      <c r="W588" s="7"/>
      <c r="X588" s="7"/>
      <c r="Y588" s="7"/>
      <c r="Z588" s="15"/>
      <c r="AA588" s="15"/>
      <c r="AB588" s="11" t="str">
        <f t="shared" si="73"/>
        <v/>
      </c>
      <c r="AC588" s="11"/>
      <c r="AD588" s="11"/>
      <c r="AE588" s="11"/>
      <c r="AF588" s="11"/>
      <c r="AG588" s="11"/>
      <c r="AH588" s="11"/>
      <c r="AI588" s="11"/>
      <c r="AJ588" s="15"/>
      <c r="AK588" s="15"/>
      <c r="AL588" s="14">
        <f t="shared" si="74"/>
        <v>3</v>
      </c>
      <c r="AM588" s="11">
        <f t="shared" si="75"/>
        <v>3</v>
      </c>
      <c r="AN588" s="14">
        <f t="shared" si="76"/>
        <v>3</v>
      </c>
      <c r="AO588" s="15"/>
      <c r="AP588" s="15"/>
      <c r="AQ588" s="15"/>
    </row>
    <row r="589" spans="1:43" ht="34" hidden="1" x14ac:dyDescent="0.2">
      <c r="A589" s="7">
        <v>588</v>
      </c>
      <c r="B589" s="19" t="s">
        <v>1235</v>
      </c>
      <c r="C589" s="19" t="s">
        <v>1236</v>
      </c>
      <c r="D589" s="8" t="s">
        <v>34</v>
      </c>
      <c r="E589" s="19" t="s">
        <v>269</v>
      </c>
      <c r="F589" s="8" t="s">
        <v>36</v>
      </c>
      <c r="G589" s="7" t="s">
        <v>59</v>
      </c>
      <c r="H589" s="9" t="s">
        <v>44</v>
      </c>
      <c r="I589" s="10"/>
      <c r="J589" s="10" t="s">
        <v>40</v>
      </c>
      <c r="K589" s="10" t="s">
        <v>40</v>
      </c>
      <c r="L589" s="10" t="s">
        <v>40</v>
      </c>
      <c r="M589">
        <v>0</v>
      </c>
      <c r="N589">
        <v>0</v>
      </c>
      <c r="O589">
        <v>0</v>
      </c>
      <c r="P589" s="10" t="s">
        <v>44</v>
      </c>
      <c r="Q589" s="10">
        <f t="array" ref="Q589">IFERROR(SUMPRODUCT((N589:P589&gt;0)*(N589:P589))/3, 0)</f>
        <v>0</v>
      </c>
      <c r="R589" s="10"/>
      <c r="S589" s="11" t="str">
        <f t="shared" si="72"/>
        <v/>
      </c>
      <c r="T589" s="7"/>
      <c r="U589" s="7"/>
      <c r="V589" s="7"/>
      <c r="W589" s="7"/>
      <c r="X589" s="7"/>
      <c r="Y589" s="7"/>
      <c r="Z589" s="15"/>
      <c r="AA589" s="15"/>
      <c r="AB589" s="11" t="str">
        <f t="shared" si="73"/>
        <v/>
      </c>
      <c r="AC589" s="11"/>
      <c r="AD589" s="11"/>
      <c r="AE589" s="11"/>
      <c r="AF589" s="11"/>
      <c r="AG589" s="11"/>
      <c r="AH589" s="11"/>
      <c r="AI589" s="11"/>
      <c r="AJ589" s="15"/>
      <c r="AK589" s="15"/>
      <c r="AL589" s="14">
        <f t="shared" si="74"/>
        <v>3</v>
      </c>
      <c r="AM589" s="11">
        <f t="shared" si="75"/>
        <v>3</v>
      </c>
      <c r="AN589" s="14">
        <f t="shared" si="76"/>
        <v>3</v>
      </c>
      <c r="AO589" s="15"/>
      <c r="AP589" s="15"/>
      <c r="AQ589" s="15"/>
    </row>
    <row r="590" spans="1:43" ht="34" hidden="1" x14ac:dyDescent="0.2">
      <c r="A590" s="7">
        <v>589</v>
      </c>
      <c r="B590" s="19" t="s">
        <v>1237</v>
      </c>
      <c r="C590" s="19" t="s">
        <v>1238</v>
      </c>
      <c r="D590" s="8" t="s">
        <v>34</v>
      </c>
      <c r="E590" s="19" t="s">
        <v>269</v>
      </c>
      <c r="F590" s="8" t="s">
        <v>36</v>
      </c>
      <c r="G590" s="7" t="s">
        <v>59</v>
      </c>
      <c r="H590" s="9" t="s">
        <v>44</v>
      </c>
      <c r="I590" s="10"/>
      <c r="J590" s="10" t="s">
        <v>40</v>
      </c>
      <c r="K590" s="10" t="s">
        <v>40</v>
      </c>
      <c r="L590" s="10" t="s">
        <v>40</v>
      </c>
      <c r="M590">
        <v>0</v>
      </c>
      <c r="N590">
        <v>0</v>
      </c>
      <c r="O590">
        <v>0</v>
      </c>
      <c r="P590" s="10" t="s">
        <v>44</v>
      </c>
      <c r="Q590" s="10">
        <f t="array" ref="Q590">IFERROR(SUMPRODUCT((N590:P590&gt;0)*(N590:P590))/3, 0)</f>
        <v>0</v>
      </c>
      <c r="R590" s="10"/>
      <c r="S590" s="11" t="str">
        <f t="shared" si="72"/>
        <v/>
      </c>
      <c r="T590" s="7"/>
      <c r="U590" s="7"/>
      <c r="V590" s="7"/>
      <c r="W590" s="7"/>
      <c r="X590" s="7"/>
      <c r="Y590" s="7"/>
      <c r="Z590" s="15"/>
      <c r="AA590" s="15"/>
      <c r="AB590" s="11" t="str">
        <f t="shared" si="73"/>
        <v/>
      </c>
      <c r="AC590" s="11"/>
      <c r="AD590" s="11"/>
      <c r="AE590" s="11"/>
      <c r="AF590" s="11"/>
      <c r="AG590" s="11"/>
      <c r="AH590" s="11"/>
      <c r="AI590" s="11"/>
      <c r="AJ590" s="15"/>
      <c r="AK590" s="15"/>
      <c r="AL590" s="14">
        <f t="shared" si="74"/>
        <v>3</v>
      </c>
      <c r="AM590" s="11">
        <f t="shared" si="75"/>
        <v>3</v>
      </c>
      <c r="AN590" s="14">
        <f t="shared" si="76"/>
        <v>3</v>
      </c>
      <c r="AO590" s="15"/>
      <c r="AP590" s="15"/>
      <c r="AQ590" s="15"/>
    </row>
    <row r="591" spans="1:43" ht="51" hidden="1" x14ac:dyDescent="0.2">
      <c r="A591" s="7">
        <v>590</v>
      </c>
      <c r="B591" s="19" t="s">
        <v>1239</v>
      </c>
      <c r="C591" s="19" t="s">
        <v>1240</v>
      </c>
      <c r="D591" s="8" t="s">
        <v>34</v>
      </c>
      <c r="E591" s="19" t="s">
        <v>269</v>
      </c>
      <c r="F591" s="8" t="s">
        <v>36</v>
      </c>
      <c r="G591" s="7" t="s">
        <v>59</v>
      </c>
      <c r="H591" s="9" t="s">
        <v>44</v>
      </c>
      <c r="I591" s="10"/>
      <c r="J591" s="10" t="s">
        <v>40</v>
      </c>
      <c r="K591" s="10" t="s">
        <v>40</v>
      </c>
      <c r="L591" s="10" t="s">
        <v>40</v>
      </c>
      <c r="M591">
        <v>0</v>
      </c>
      <c r="N591">
        <v>0</v>
      </c>
      <c r="O591">
        <v>0</v>
      </c>
      <c r="P591" s="10" t="s">
        <v>44</v>
      </c>
      <c r="Q591" s="10">
        <f t="array" ref="Q591">IFERROR(SUMPRODUCT((N591:P591&gt;0)*(N591:P591))/3, 0)</f>
        <v>0</v>
      </c>
      <c r="R591" s="10"/>
      <c r="S591" s="11" t="str">
        <f t="shared" si="72"/>
        <v/>
      </c>
      <c r="T591" s="7"/>
      <c r="U591" s="7"/>
      <c r="V591" s="7"/>
      <c r="W591" s="7"/>
      <c r="X591" s="7"/>
      <c r="Y591" s="7"/>
      <c r="Z591" s="15"/>
      <c r="AA591" s="15"/>
      <c r="AB591" s="11" t="str">
        <f t="shared" si="73"/>
        <v/>
      </c>
      <c r="AC591" s="11"/>
      <c r="AD591" s="11"/>
      <c r="AE591" s="11"/>
      <c r="AF591" s="11"/>
      <c r="AG591" s="11"/>
      <c r="AH591" s="11"/>
      <c r="AI591" s="11"/>
      <c r="AJ591" s="15"/>
      <c r="AK591" s="15"/>
      <c r="AL591" s="14">
        <f t="shared" si="74"/>
        <v>3</v>
      </c>
      <c r="AM591" s="11">
        <f t="shared" si="75"/>
        <v>3</v>
      </c>
      <c r="AN591" s="14">
        <f t="shared" si="76"/>
        <v>3</v>
      </c>
      <c r="AO591" s="15"/>
      <c r="AP591" s="15"/>
      <c r="AQ591" s="15"/>
    </row>
    <row r="592" spans="1:43" ht="51" hidden="1" x14ac:dyDescent="0.2">
      <c r="A592" s="7">
        <v>591</v>
      </c>
      <c r="B592" s="19" t="s">
        <v>1241</v>
      </c>
      <c r="C592" s="19" t="s">
        <v>1242</v>
      </c>
      <c r="D592" s="8" t="s">
        <v>34</v>
      </c>
      <c r="E592" s="19" t="s">
        <v>269</v>
      </c>
      <c r="F592" s="8" t="s">
        <v>36</v>
      </c>
      <c r="G592" s="7" t="s">
        <v>59</v>
      </c>
      <c r="H592" s="9" t="s">
        <v>44</v>
      </c>
      <c r="I592" s="10"/>
      <c r="J592" s="10" t="s">
        <v>40</v>
      </c>
      <c r="K592" s="10" t="s">
        <v>40</v>
      </c>
      <c r="L592" s="10" t="s">
        <v>40</v>
      </c>
      <c r="M592">
        <v>0</v>
      </c>
      <c r="N592">
        <v>0</v>
      </c>
      <c r="O592">
        <v>0</v>
      </c>
      <c r="P592" s="10" t="s">
        <v>44</v>
      </c>
      <c r="Q592" s="10">
        <f t="array" ref="Q592">IFERROR(SUMPRODUCT((N592:P592&gt;0)*(N592:P592))/3, 0)</f>
        <v>0</v>
      </c>
      <c r="R592" s="10"/>
      <c r="S592" s="11" t="str">
        <f t="shared" si="72"/>
        <v/>
      </c>
      <c r="T592" s="7"/>
      <c r="U592" s="7"/>
      <c r="V592" s="7"/>
      <c r="W592" s="7"/>
      <c r="X592" s="7"/>
      <c r="Y592" s="7"/>
      <c r="Z592" s="15"/>
      <c r="AA592" s="15"/>
      <c r="AB592" s="11" t="str">
        <f t="shared" si="73"/>
        <v/>
      </c>
      <c r="AC592" s="11"/>
      <c r="AD592" s="11"/>
      <c r="AE592" s="11"/>
      <c r="AF592" s="11"/>
      <c r="AG592" s="11"/>
      <c r="AH592" s="11"/>
      <c r="AI592" s="11"/>
      <c r="AJ592" s="15"/>
      <c r="AK592" s="15"/>
      <c r="AL592" s="14">
        <f t="shared" si="74"/>
        <v>3</v>
      </c>
      <c r="AM592" s="11">
        <f t="shared" si="75"/>
        <v>3</v>
      </c>
      <c r="AN592" s="14">
        <f t="shared" si="76"/>
        <v>3</v>
      </c>
      <c r="AO592" s="15"/>
      <c r="AP592" s="15"/>
      <c r="AQ592" s="15"/>
    </row>
    <row r="593" spans="1:43" ht="51" hidden="1" x14ac:dyDescent="0.2">
      <c r="A593" s="7">
        <v>592</v>
      </c>
      <c r="B593" s="19" t="s">
        <v>1243</v>
      </c>
      <c r="C593" s="19" t="s">
        <v>1244</v>
      </c>
      <c r="D593" s="8" t="s">
        <v>34</v>
      </c>
      <c r="E593" s="19" t="s">
        <v>269</v>
      </c>
      <c r="F593" s="8" t="s">
        <v>36</v>
      </c>
      <c r="G593" s="7" t="s">
        <v>59</v>
      </c>
      <c r="H593" s="9" t="s">
        <v>44</v>
      </c>
      <c r="I593" s="10"/>
      <c r="J593" s="10" t="s">
        <v>40</v>
      </c>
      <c r="K593" s="10" t="s">
        <v>40</v>
      </c>
      <c r="L593" s="10" t="s">
        <v>40</v>
      </c>
      <c r="M593">
        <v>0</v>
      </c>
      <c r="N593">
        <v>0</v>
      </c>
      <c r="O593">
        <v>0</v>
      </c>
      <c r="P593" s="10" t="s">
        <v>44</v>
      </c>
      <c r="Q593" s="10">
        <f t="array" ref="Q593">IFERROR(SUMPRODUCT((N593:P593&gt;0)*(N593:P593))/3, 0)</f>
        <v>0</v>
      </c>
      <c r="R593" s="10"/>
      <c r="S593" s="11" t="str">
        <f t="shared" si="72"/>
        <v/>
      </c>
      <c r="T593" s="7"/>
      <c r="U593" s="7"/>
      <c r="V593" s="7"/>
      <c r="W593" s="7"/>
      <c r="X593" s="7"/>
      <c r="Y593" s="7"/>
      <c r="Z593" s="15"/>
      <c r="AA593" s="15"/>
      <c r="AB593" s="11" t="str">
        <f t="shared" si="73"/>
        <v/>
      </c>
      <c r="AC593" s="11"/>
      <c r="AD593" s="11"/>
      <c r="AE593" s="11"/>
      <c r="AF593" s="11"/>
      <c r="AG593" s="11"/>
      <c r="AH593" s="11"/>
      <c r="AI593" s="11"/>
      <c r="AJ593" s="15"/>
      <c r="AK593" s="15"/>
      <c r="AL593" s="14">
        <f t="shared" si="74"/>
        <v>3</v>
      </c>
      <c r="AM593" s="11">
        <f t="shared" si="75"/>
        <v>3</v>
      </c>
      <c r="AN593" s="14">
        <f t="shared" si="76"/>
        <v>3</v>
      </c>
      <c r="AO593" s="15"/>
      <c r="AP593" s="15"/>
      <c r="AQ593" s="15"/>
    </row>
    <row r="594" spans="1:43" ht="34" hidden="1" x14ac:dyDescent="0.2">
      <c r="A594" s="7">
        <v>593</v>
      </c>
      <c r="B594" s="19" t="s">
        <v>1245</v>
      </c>
      <c r="C594" s="19" t="s">
        <v>1246</v>
      </c>
      <c r="D594" s="8" t="s">
        <v>34</v>
      </c>
      <c r="E594" s="19" t="s">
        <v>269</v>
      </c>
      <c r="F594" s="8" t="s">
        <v>36</v>
      </c>
      <c r="G594" s="7" t="s">
        <v>59</v>
      </c>
      <c r="H594" s="9" t="s">
        <v>44</v>
      </c>
      <c r="I594" s="10"/>
      <c r="J594" s="10" t="s">
        <v>40</v>
      </c>
      <c r="K594" s="10" t="s">
        <v>40</v>
      </c>
      <c r="L594" s="10" t="s">
        <v>40</v>
      </c>
      <c r="M594">
        <v>0</v>
      </c>
      <c r="N594">
        <v>0</v>
      </c>
      <c r="O594">
        <v>0</v>
      </c>
      <c r="P594" s="10" t="s">
        <v>44</v>
      </c>
      <c r="Q594" s="10">
        <f t="array" ref="Q594">IFERROR(SUMPRODUCT((N594:P594&gt;0)*(N594:P594))/3, 0)</f>
        <v>0</v>
      </c>
      <c r="R594" s="10"/>
      <c r="S594" s="11" t="str">
        <f t="shared" si="72"/>
        <v/>
      </c>
      <c r="T594" s="7"/>
      <c r="U594" s="7"/>
      <c r="V594" s="7"/>
      <c r="W594" s="7"/>
      <c r="X594" s="7"/>
      <c r="Y594" s="7"/>
      <c r="Z594" s="15"/>
      <c r="AA594" s="15"/>
      <c r="AB594" s="11" t="str">
        <f t="shared" si="73"/>
        <v/>
      </c>
      <c r="AC594" s="11"/>
      <c r="AD594" s="11"/>
      <c r="AE594" s="11"/>
      <c r="AF594" s="11"/>
      <c r="AG594" s="11"/>
      <c r="AH594" s="11"/>
      <c r="AI594" s="11"/>
      <c r="AJ594" s="15"/>
      <c r="AK594" s="15"/>
      <c r="AL594" s="14">
        <f t="shared" si="74"/>
        <v>3</v>
      </c>
      <c r="AM594" s="11">
        <f t="shared" si="75"/>
        <v>3</v>
      </c>
      <c r="AN594" s="14">
        <f t="shared" si="76"/>
        <v>3</v>
      </c>
      <c r="AO594" s="15"/>
      <c r="AP594" s="15"/>
      <c r="AQ594" s="15"/>
    </row>
    <row r="595" spans="1:43" ht="34" hidden="1" x14ac:dyDescent="0.2">
      <c r="A595" s="7">
        <v>594</v>
      </c>
      <c r="B595" s="19" t="s">
        <v>1247</v>
      </c>
      <c r="C595" s="19" t="s">
        <v>1248</v>
      </c>
      <c r="D595" s="8" t="s">
        <v>34</v>
      </c>
      <c r="E595" s="19" t="s">
        <v>269</v>
      </c>
      <c r="F595" s="8" t="s">
        <v>36</v>
      </c>
      <c r="G595" s="7" t="s">
        <v>59</v>
      </c>
      <c r="H595" s="9" t="s">
        <v>44</v>
      </c>
      <c r="I595" s="10"/>
      <c r="J595" s="10" t="s">
        <v>40</v>
      </c>
      <c r="K595" s="10" t="s">
        <v>40</v>
      </c>
      <c r="L595" s="10" t="s">
        <v>40</v>
      </c>
      <c r="M595">
        <v>0</v>
      </c>
      <c r="N595">
        <v>0</v>
      </c>
      <c r="O595">
        <v>0</v>
      </c>
      <c r="P595" s="10" t="s">
        <v>44</v>
      </c>
      <c r="Q595" s="10">
        <f t="array" ref="Q595">IFERROR(SUMPRODUCT((N595:P595&gt;0)*(N595:P595))/3, 0)</f>
        <v>0</v>
      </c>
      <c r="R595" s="10"/>
      <c r="S595" s="11" t="str">
        <f t="shared" si="72"/>
        <v/>
      </c>
      <c r="T595" s="7"/>
      <c r="U595" s="7"/>
      <c r="V595" s="7"/>
      <c r="W595" s="7"/>
      <c r="X595" s="7"/>
      <c r="Y595" s="7"/>
      <c r="Z595" s="15"/>
      <c r="AA595" s="15"/>
      <c r="AB595" s="11" t="str">
        <f t="shared" si="73"/>
        <v/>
      </c>
      <c r="AC595" s="11"/>
      <c r="AD595" s="11"/>
      <c r="AE595" s="11"/>
      <c r="AF595" s="11"/>
      <c r="AG595" s="11"/>
      <c r="AH595" s="11"/>
      <c r="AI595" s="11"/>
      <c r="AJ595" s="15"/>
      <c r="AK595" s="15"/>
      <c r="AL595" s="14">
        <f t="shared" si="74"/>
        <v>3</v>
      </c>
      <c r="AM595" s="11">
        <f t="shared" si="75"/>
        <v>3</v>
      </c>
      <c r="AN595" s="14">
        <f t="shared" si="76"/>
        <v>3</v>
      </c>
      <c r="AO595" s="15"/>
      <c r="AP595" s="15"/>
      <c r="AQ595" s="15"/>
    </row>
    <row r="596" spans="1:43" ht="34" hidden="1" x14ac:dyDescent="0.2">
      <c r="A596" s="7">
        <v>595</v>
      </c>
      <c r="B596" s="19" t="s">
        <v>1249</v>
      </c>
      <c r="C596" s="19" t="s">
        <v>1250</v>
      </c>
      <c r="D596" s="8" t="s">
        <v>34</v>
      </c>
      <c r="E596" s="19" t="s">
        <v>269</v>
      </c>
      <c r="F596" s="8" t="s">
        <v>36</v>
      </c>
      <c r="G596" s="7" t="s">
        <v>59</v>
      </c>
      <c r="H596" s="9" t="s">
        <v>44</v>
      </c>
      <c r="I596" s="10"/>
      <c r="J596" s="10" t="s">
        <v>40</v>
      </c>
      <c r="K596" s="10" t="s">
        <v>40</v>
      </c>
      <c r="L596" s="10" t="s">
        <v>40</v>
      </c>
      <c r="M596">
        <v>0</v>
      </c>
      <c r="N596">
        <v>0</v>
      </c>
      <c r="O596">
        <v>0</v>
      </c>
      <c r="P596" s="10" t="s">
        <v>44</v>
      </c>
      <c r="Q596" s="10">
        <f t="array" ref="Q596">IFERROR(SUMPRODUCT((N596:P596&gt;0)*(N596:P596))/3, 0)</f>
        <v>0</v>
      </c>
      <c r="R596" s="10"/>
      <c r="S596" s="11" t="str">
        <f t="shared" si="72"/>
        <v/>
      </c>
      <c r="T596" s="7"/>
      <c r="U596" s="7"/>
      <c r="V596" s="7"/>
      <c r="W596" s="7"/>
      <c r="X596" s="7"/>
      <c r="Y596" s="7"/>
      <c r="Z596" s="15"/>
      <c r="AA596" s="15"/>
      <c r="AB596" s="11" t="str">
        <f t="shared" si="73"/>
        <v/>
      </c>
      <c r="AC596" s="11"/>
      <c r="AD596" s="11"/>
      <c r="AE596" s="11"/>
      <c r="AF596" s="11"/>
      <c r="AG596" s="11"/>
      <c r="AH596" s="11"/>
      <c r="AI596" s="11"/>
      <c r="AJ596" s="15"/>
      <c r="AK596" s="15"/>
      <c r="AL596" s="14">
        <f t="shared" si="74"/>
        <v>3</v>
      </c>
      <c r="AM596" s="11">
        <f t="shared" si="75"/>
        <v>3</v>
      </c>
      <c r="AN596" s="14">
        <f t="shared" si="76"/>
        <v>3</v>
      </c>
      <c r="AO596" s="15"/>
      <c r="AP596" s="15"/>
      <c r="AQ596" s="15"/>
    </row>
    <row r="597" spans="1:43" ht="51" hidden="1" x14ac:dyDescent="0.2">
      <c r="A597" s="7">
        <v>596</v>
      </c>
      <c r="B597" s="19" t="s">
        <v>1251</v>
      </c>
      <c r="C597" s="19" t="s">
        <v>1252</v>
      </c>
      <c r="D597" s="8" t="s">
        <v>34</v>
      </c>
      <c r="E597" s="19" t="s">
        <v>269</v>
      </c>
      <c r="F597" s="8" t="s">
        <v>36</v>
      </c>
      <c r="G597" s="7" t="s">
        <v>59</v>
      </c>
      <c r="H597" s="9" t="s">
        <v>44</v>
      </c>
      <c r="I597" s="10"/>
      <c r="J597" s="10" t="s">
        <v>40</v>
      </c>
      <c r="K597" s="10" t="s">
        <v>40</v>
      </c>
      <c r="L597" s="10" t="s">
        <v>40</v>
      </c>
      <c r="M597">
        <v>0</v>
      </c>
      <c r="N597">
        <v>0</v>
      </c>
      <c r="O597">
        <v>0</v>
      </c>
      <c r="P597" s="10" t="s">
        <v>44</v>
      </c>
      <c r="Q597" s="10">
        <f t="array" ref="Q597">IFERROR(SUMPRODUCT((N597:P597&gt;0)*(N597:P597))/3, 0)</f>
        <v>0</v>
      </c>
      <c r="R597" s="10"/>
      <c r="S597" s="11" t="str">
        <f t="shared" si="72"/>
        <v/>
      </c>
      <c r="T597" s="7"/>
      <c r="U597" s="7"/>
      <c r="V597" s="7"/>
      <c r="W597" s="7"/>
      <c r="X597" s="7"/>
      <c r="Y597" s="7"/>
      <c r="Z597" s="15"/>
      <c r="AA597" s="15"/>
      <c r="AB597" s="11" t="str">
        <f t="shared" si="73"/>
        <v/>
      </c>
      <c r="AC597" s="11"/>
      <c r="AD597" s="11"/>
      <c r="AE597" s="11"/>
      <c r="AF597" s="11"/>
      <c r="AG597" s="11"/>
      <c r="AH597" s="11"/>
      <c r="AI597" s="11"/>
      <c r="AJ597" s="15"/>
      <c r="AK597" s="15"/>
      <c r="AL597" s="14">
        <f t="shared" si="74"/>
        <v>3</v>
      </c>
      <c r="AM597" s="11">
        <f t="shared" si="75"/>
        <v>3</v>
      </c>
      <c r="AN597" s="14">
        <f t="shared" si="76"/>
        <v>3</v>
      </c>
      <c r="AO597" s="15"/>
      <c r="AP597" s="15"/>
      <c r="AQ597" s="15"/>
    </row>
    <row r="598" spans="1:43" ht="51" hidden="1" x14ac:dyDescent="0.2">
      <c r="A598" s="7">
        <v>597</v>
      </c>
      <c r="B598" s="19" t="s">
        <v>1253</v>
      </c>
      <c r="C598" s="19" t="s">
        <v>1254</v>
      </c>
      <c r="D598" s="8" t="s">
        <v>34</v>
      </c>
      <c r="E598" s="19" t="s">
        <v>269</v>
      </c>
      <c r="F598" s="8" t="s">
        <v>36</v>
      </c>
      <c r="G598" s="7" t="s">
        <v>59</v>
      </c>
      <c r="H598" s="9" t="s">
        <v>44</v>
      </c>
      <c r="I598" s="10"/>
      <c r="J598" s="10" t="s">
        <v>40</v>
      </c>
      <c r="K598" s="10" t="s">
        <v>40</v>
      </c>
      <c r="L598" s="10" t="s">
        <v>40</v>
      </c>
      <c r="M598">
        <v>0</v>
      </c>
      <c r="N598">
        <v>0</v>
      </c>
      <c r="O598">
        <v>0</v>
      </c>
      <c r="P598" s="10" t="s">
        <v>44</v>
      </c>
      <c r="Q598" s="10">
        <f t="array" ref="Q598">IFERROR(SUMPRODUCT((N598:P598&gt;0)*(N598:P598))/3, 0)</f>
        <v>0</v>
      </c>
      <c r="R598" s="10"/>
      <c r="S598" s="11" t="str">
        <f t="shared" si="72"/>
        <v/>
      </c>
      <c r="T598" s="7"/>
      <c r="U598" s="7"/>
      <c r="V598" s="7"/>
      <c r="W598" s="7"/>
      <c r="X598" s="7"/>
      <c r="Y598" s="7"/>
      <c r="Z598" s="15"/>
      <c r="AA598" s="15"/>
      <c r="AB598" s="11" t="str">
        <f t="shared" si="73"/>
        <v/>
      </c>
      <c r="AC598" s="11"/>
      <c r="AD598" s="11"/>
      <c r="AE598" s="11"/>
      <c r="AF598" s="11"/>
      <c r="AG598" s="11"/>
      <c r="AH598" s="11"/>
      <c r="AI598" s="11"/>
      <c r="AJ598" s="15"/>
      <c r="AK598" s="15"/>
      <c r="AL598" s="14">
        <f t="shared" si="74"/>
        <v>3</v>
      </c>
      <c r="AM598" s="11">
        <f t="shared" si="75"/>
        <v>3</v>
      </c>
      <c r="AN598" s="14">
        <f t="shared" si="76"/>
        <v>3</v>
      </c>
      <c r="AO598" s="15"/>
      <c r="AP598" s="15"/>
      <c r="AQ598" s="15"/>
    </row>
    <row r="599" spans="1:43" ht="51" hidden="1" x14ac:dyDescent="0.2">
      <c r="A599" s="7">
        <v>598</v>
      </c>
      <c r="B599" s="19" t="s">
        <v>1255</v>
      </c>
      <c r="C599" s="19" t="s">
        <v>1256</v>
      </c>
      <c r="D599" s="8" t="s">
        <v>34</v>
      </c>
      <c r="E599" s="19" t="s">
        <v>269</v>
      </c>
      <c r="F599" s="8" t="s">
        <v>36</v>
      </c>
      <c r="G599" s="7" t="s">
        <v>59</v>
      </c>
      <c r="H599" s="9" t="s">
        <v>44</v>
      </c>
      <c r="I599" s="10"/>
      <c r="J599" s="10" t="s">
        <v>40</v>
      </c>
      <c r="K599" s="10" t="s">
        <v>40</v>
      </c>
      <c r="L599" s="10" t="s">
        <v>40</v>
      </c>
      <c r="M599">
        <v>0</v>
      </c>
      <c r="N599">
        <v>0</v>
      </c>
      <c r="O599">
        <v>0</v>
      </c>
      <c r="P599" s="10" t="s">
        <v>44</v>
      </c>
      <c r="Q599" s="10">
        <f t="array" ref="Q599">IFERROR(SUMPRODUCT((N599:P599&gt;0)*(N599:P599))/3, 0)</f>
        <v>0</v>
      </c>
      <c r="R599" s="10"/>
      <c r="S599" s="11" t="str">
        <f t="shared" si="72"/>
        <v/>
      </c>
      <c r="T599" s="7"/>
      <c r="U599" s="7"/>
      <c r="V599" s="7"/>
      <c r="W599" s="7"/>
      <c r="X599" s="7"/>
      <c r="Y599" s="7"/>
      <c r="Z599" s="15"/>
      <c r="AA599" s="15"/>
      <c r="AB599" s="11" t="str">
        <f t="shared" si="73"/>
        <v/>
      </c>
      <c r="AC599" s="11"/>
      <c r="AD599" s="11"/>
      <c r="AE599" s="11"/>
      <c r="AF599" s="11"/>
      <c r="AG599" s="11"/>
      <c r="AH599" s="11"/>
      <c r="AI599" s="11"/>
      <c r="AJ599" s="15"/>
      <c r="AK599" s="15"/>
      <c r="AL599" s="14">
        <f t="shared" si="74"/>
        <v>3</v>
      </c>
      <c r="AM599" s="11">
        <f t="shared" si="75"/>
        <v>3</v>
      </c>
      <c r="AN599" s="14">
        <f t="shared" si="76"/>
        <v>3</v>
      </c>
      <c r="AO599" s="15"/>
      <c r="AP599" s="15"/>
      <c r="AQ599" s="15"/>
    </row>
    <row r="600" spans="1:43" ht="51" hidden="1" x14ac:dyDescent="0.2">
      <c r="A600" s="7">
        <v>599</v>
      </c>
      <c r="B600" s="19" t="s">
        <v>1257</v>
      </c>
      <c r="C600" s="19" t="s">
        <v>1258</v>
      </c>
      <c r="D600" s="8" t="s">
        <v>34</v>
      </c>
      <c r="E600" s="19" t="s">
        <v>269</v>
      </c>
      <c r="F600" s="8" t="s">
        <v>36</v>
      </c>
      <c r="G600" s="7" t="s">
        <v>59</v>
      </c>
      <c r="H600" s="9" t="s">
        <v>44</v>
      </c>
      <c r="I600" s="10"/>
      <c r="J600" s="10" t="s">
        <v>40</v>
      </c>
      <c r="K600" s="10" t="s">
        <v>40</v>
      </c>
      <c r="L600" s="10" t="s">
        <v>40</v>
      </c>
      <c r="M600">
        <v>0</v>
      </c>
      <c r="N600">
        <v>0</v>
      </c>
      <c r="O600">
        <v>0</v>
      </c>
      <c r="P600" s="10" t="s">
        <v>44</v>
      </c>
      <c r="Q600" s="10">
        <f t="array" ref="Q600">IFERROR(SUMPRODUCT((N600:P600&gt;0)*(N600:P600))/3, 0)</f>
        <v>0</v>
      </c>
      <c r="R600" s="10"/>
      <c r="S600" s="11" t="str">
        <f t="shared" si="72"/>
        <v/>
      </c>
      <c r="T600" s="7"/>
      <c r="U600" s="7"/>
      <c r="V600" s="7"/>
      <c r="W600" s="7"/>
      <c r="X600" s="7"/>
      <c r="Y600" s="7"/>
      <c r="Z600" s="15"/>
      <c r="AA600" s="15"/>
      <c r="AB600" s="11" t="str">
        <f t="shared" si="73"/>
        <v/>
      </c>
      <c r="AC600" s="11"/>
      <c r="AD600" s="11"/>
      <c r="AE600" s="11"/>
      <c r="AF600" s="11"/>
      <c r="AG600" s="11"/>
      <c r="AH600" s="11"/>
      <c r="AI600" s="11"/>
      <c r="AJ600" s="15"/>
      <c r="AK600" s="15"/>
      <c r="AL600" s="14">
        <f t="shared" si="74"/>
        <v>3</v>
      </c>
      <c r="AM600" s="11">
        <f t="shared" si="75"/>
        <v>3</v>
      </c>
      <c r="AN600" s="14">
        <f t="shared" si="76"/>
        <v>3</v>
      </c>
      <c r="AO600" s="15"/>
      <c r="AP600" s="15"/>
      <c r="AQ600" s="15"/>
    </row>
    <row r="601" spans="1:43" ht="34" hidden="1" x14ac:dyDescent="0.2">
      <c r="A601" s="7">
        <v>600</v>
      </c>
      <c r="B601" s="19" t="s">
        <v>1259</v>
      </c>
      <c r="C601" s="19" t="s">
        <v>1260</v>
      </c>
      <c r="D601" s="8" t="s">
        <v>34</v>
      </c>
      <c r="E601" s="19" t="s">
        <v>269</v>
      </c>
      <c r="F601" s="8" t="s">
        <v>36</v>
      </c>
      <c r="G601" s="7" t="s">
        <v>59</v>
      </c>
      <c r="H601" s="9" t="s">
        <v>44</v>
      </c>
      <c r="I601" s="10"/>
      <c r="J601" s="10" t="s">
        <v>40</v>
      </c>
      <c r="K601" s="10" t="s">
        <v>40</v>
      </c>
      <c r="L601" s="10" t="s">
        <v>40</v>
      </c>
      <c r="M601">
        <v>0</v>
      </c>
      <c r="N601">
        <v>0</v>
      </c>
      <c r="O601">
        <v>0</v>
      </c>
      <c r="P601" s="10" t="s">
        <v>44</v>
      </c>
      <c r="Q601" s="10">
        <f t="array" ref="Q601">IFERROR(SUMPRODUCT((N601:P601&gt;0)*(N601:P601))/3, 0)</f>
        <v>0</v>
      </c>
      <c r="R601" s="10"/>
      <c r="S601" s="11" t="str">
        <f t="shared" si="72"/>
        <v/>
      </c>
      <c r="T601" s="7"/>
      <c r="U601" s="7"/>
      <c r="V601" s="7"/>
      <c r="W601" s="7"/>
      <c r="X601" s="7"/>
      <c r="Y601" s="7"/>
      <c r="Z601" s="15"/>
      <c r="AA601" s="15"/>
      <c r="AB601" s="11" t="str">
        <f t="shared" si="73"/>
        <v/>
      </c>
      <c r="AC601" s="11"/>
      <c r="AD601" s="11"/>
      <c r="AE601" s="11"/>
      <c r="AF601" s="11"/>
      <c r="AG601" s="11"/>
      <c r="AH601" s="11"/>
      <c r="AI601" s="11"/>
      <c r="AJ601" s="15"/>
      <c r="AK601" s="15"/>
      <c r="AL601" s="14">
        <f t="shared" si="74"/>
        <v>3</v>
      </c>
      <c r="AM601" s="11">
        <f t="shared" si="75"/>
        <v>3</v>
      </c>
      <c r="AN601" s="14">
        <f t="shared" si="76"/>
        <v>3</v>
      </c>
      <c r="AO601" s="15"/>
      <c r="AP601" s="15"/>
      <c r="AQ601" s="15"/>
    </row>
    <row r="602" spans="1:43" ht="34" hidden="1" x14ac:dyDescent="0.2">
      <c r="A602" s="7">
        <v>601</v>
      </c>
      <c r="B602" s="19" t="s">
        <v>1261</v>
      </c>
      <c r="C602" s="19" t="s">
        <v>1262</v>
      </c>
      <c r="D602" s="8" t="s">
        <v>34</v>
      </c>
      <c r="E602" s="19" t="s">
        <v>269</v>
      </c>
      <c r="F602" s="8" t="s">
        <v>36</v>
      </c>
      <c r="G602" s="7" t="s">
        <v>59</v>
      </c>
      <c r="H602" s="9" t="s">
        <v>44</v>
      </c>
      <c r="I602" s="10"/>
      <c r="J602" s="10" t="s">
        <v>40</v>
      </c>
      <c r="K602" s="10" t="s">
        <v>40</v>
      </c>
      <c r="L602" s="10" t="s">
        <v>40</v>
      </c>
      <c r="M602">
        <v>0</v>
      </c>
      <c r="N602">
        <v>0</v>
      </c>
      <c r="O602">
        <v>0</v>
      </c>
      <c r="P602" s="10" t="s">
        <v>44</v>
      </c>
      <c r="Q602" s="10">
        <f t="array" ref="Q602">IFERROR(SUMPRODUCT((N602:P602&gt;0)*(N602:P602))/3, 0)</f>
        <v>0</v>
      </c>
      <c r="R602" s="10"/>
      <c r="S602" s="11" t="str">
        <f t="shared" si="72"/>
        <v/>
      </c>
      <c r="T602" s="7"/>
      <c r="U602" s="7"/>
      <c r="V602" s="7"/>
      <c r="W602" s="7"/>
      <c r="X602" s="7"/>
      <c r="Y602" s="7"/>
      <c r="Z602" s="15"/>
      <c r="AA602" s="15"/>
      <c r="AB602" s="11" t="str">
        <f t="shared" si="73"/>
        <v/>
      </c>
      <c r="AC602" s="11"/>
      <c r="AD602" s="11"/>
      <c r="AE602" s="11"/>
      <c r="AF602" s="11"/>
      <c r="AG602" s="11"/>
      <c r="AH602" s="11"/>
      <c r="AI602" s="11"/>
      <c r="AJ602" s="15"/>
      <c r="AK602" s="15"/>
      <c r="AL602" s="14">
        <f t="shared" si="74"/>
        <v>3</v>
      </c>
      <c r="AM602" s="11">
        <f t="shared" si="75"/>
        <v>3</v>
      </c>
      <c r="AN602" s="14">
        <f t="shared" si="76"/>
        <v>3</v>
      </c>
      <c r="AO602" s="15"/>
      <c r="AP602" s="15"/>
      <c r="AQ602" s="15"/>
    </row>
    <row r="603" spans="1:43" ht="34" hidden="1" x14ac:dyDescent="0.2">
      <c r="A603" s="7">
        <v>602</v>
      </c>
      <c r="B603" s="19" t="s">
        <v>1263</v>
      </c>
      <c r="C603" s="19" t="s">
        <v>1264</v>
      </c>
      <c r="D603" s="8" t="s">
        <v>34</v>
      </c>
      <c r="E603" s="19" t="s">
        <v>269</v>
      </c>
      <c r="F603" s="8" t="s">
        <v>36</v>
      </c>
      <c r="G603" s="7" t="s">
        <v>59</v>
      </c>
      <c r="H603" s="9" t="s">
        <v>44</v>
      </c>
      <c r="I603" s="10"/>
      <c r="J603" s="10" t="s">
        <v>40</v>
      </c>
      <c r="K603" s="10" t="s">
        <v>40</v>
      </c>
      <c r="L603" s="10" t="s">
        <v>40</v>
      </c>
      <c r="M603">
        <v>0</v>
      </c>
      <c r="N603">
        <v>0</v>
      </c>
      <c r="O603">
        <v>0</v>
      </c>
      <c r="P603" s="10" t="s">
        <v>44</v>
      </c>
      <c r="Q603" s="10">
        <f t="array" ref="Q603">IFERROR(SUMPRODUCT((N603:P603&gt;0)*(N603:P603))/3, 0)</f>
        <v>0</v>
      </c>
      <c r="R603" s="10"/>
      <c r="S603" s="11" t="str">
        <f t="shared" si="72"/>
        <v/>
      </c>
      <c r="T603" s="7"/>
      <c r="U603" s="7"/>
      <c r="V603" s="7"/>
      <c r="W603" s="7"/>
      <c r="X603" s="7"/>
      <c r="Y603" s="7"/>
      <c r="Z603" s="15"/>
      <c r="AA603" s="15"/>
      <c r="AB603" s="11" t="str">
        <f t="shared" si="73"/>
        <v/>
      </c>
      <c r="AC603" s="11"/>
      <c r="AD603" s="11"/>
      <c r="AE603" s="11"/>
      <c r="AF603" s="11"/>
      <c r="AG603" s="11"/>
      <c r="AH603" s="11"/>
      <c r="AI603" s="11"/>
      <c r="AJ603" s="15"/>
      <c r="AK603" s="15"/>
      <c r="AL603" s="14">
        <f t="shared" si="74"/>
        <v>3</v>
      </c>
      <c r="AM603" s="11">
        <f t="shared" si="75"/>
        <v>3</v>
      </c>
      <c r="AN603" s="14">
        <f t="shared" si="76"/>
        <v>3</v>
      </c>
      <c r="AO603" s="15"/>
      <c r="AP603" s="15"/>
      <c r="AQ603" s="15"/>
    </row>
    <row r="604" spans="1:43" ht="34" hidden="1" x14ac:dyDescent="0.2">
      <c r="A604" s="7">
        <v>603</v>
      </c>
      <c r="B604" s="19" t="s">
        <v>1265</v>
      </c>
      <c r="C604" s="19" t="s">
        <v>1266</v>
      </c>
      <c r="D604" s="8" t="s">
        <v>34</v>
      </c>
      <c r="E604" s="19" t="s">
        <v>269</v>
      </c>
      <c r="F604" s="8" t="s">
        <v>36</v>
      </c>
      <c r="G604" s="7" t="s">
        <v>59</v>
      </c>
      <c r="H604" s="9" t="s">
        <v>44</v>
      </c>
      <c r="I604" s="10"/>
      <c r="J604" s="10" t="s">
        <v>40</v>
      </c>
      <c r="K604" s="10" t="s">
        <v>40</v>
      </c>
      <c r="L604" s="10" t="s">
        <v>40</v>
      </c>
      <c r="M604">
        <v>0</v>
      </c>
      <c r="N604">
        <v>0</v>
      </c>
      <c r="O604">
        <v>0</v>
      </c>
      <c r="P604" s="10" t="s">
        <v>44</v>
      </c>
      <c r="Q604" s="10">
        <f t="array" ref="Q604">IFERROR(SUMPRODUCT((N604:P604&gt;0)*(N604:P604))/3, 0)</f>
        <v>0</v>
      </c>
      <c r="R604" s="10"/>
      <c r="S604" s="11" t="str">
        <f t="shared" si="72"/>
        <v/>
      </c>
      <c r="T604" s="7"/>
      <c r="U604" s="7"/>
      <c r="V604" s="7"/>
      <c r="W604" s="7"/>
      <c r="X604" s="7"/>
      <c r="Y604" s="7"/>
      <c r="Z604" s="15"/>
      <c r="AA604" s="15"/>
      <c r="AB604" s="11" t="str">
        <f t="shared" si="73"/>
        <v/>
      </c>
      <c r="AC604" s="11"/>
      <c r="AD604" s="11"/>
      <c r="AE604" s="11"/>
      <c r="AF604" s="11"/>
      <c r="AG604" s="11"/>
      <c r="AH604" s="11"/>
      <c r="AI604" s="11"/>
      <c r="AJ604" s="15"/>
      <c r="AK604" s="15"/>
      <c r="AL604" s="14">
        <f t="shared" si="74"/>
        <v>3</v>
      </c>
      <c r="AM604" s="11">
        <f t="shared" si="75"/>
        <v>3</v>
      </c>
      <c r="AN604" s="14">
        <f t="shared" si="76"/>
        <v>3</v>
      </c>
      <c r="AO604" s="15"/>
      <c r="AP604" s="15"/>
      <c r="AQ604" s="15"/>
    </row>
    <row r="605" spans="1:43" ht="34" hidden="1" x14ac:dyDescent="0.2">
      <c r="A605" s="7">
        <v>604</v>
      </c>
      <c r="B605" s="19" t="s">
        <v>1267</v>
      </c>
      <c r="C605" s="19" t="s">
        <v>1268</v>
      </c>
      <c r="D605" s="8" t="s">
        <v>34</v>
      </c>
      <c r="E605" s="19" t="s">
        <v>269</v>
      </c>
      <c r="F605" s="8" t="s">
        <v>36</v>
      </c>
      <c r="G605" s="7" t="s">
        <v>59</v>
      </c>
      <c r="H605" s="9" t="s">
        <v>44</v>
      </c>
      <c r="I605" s="10"/>
      <c r="J605" s="10" t="s">
        <v>40</v>
      </c>
      <c r="K605" s="10" t="s">
        <v>40</v>
      </c>
      <c r="L605" s="10" t="s">
        <v>40</v>
      </c>
      <c r="M605">
        <v>0</v>
      </c>
      <c r="N605">
        <v>0</v>
      </c>
      <c r="O605">
        <v>0</v>
      </c>
      <c r="P605" s="10" t="s">
        <v>44</v>
      </c>
      <c r="Q605" s="10">
        <f t="array" ref="Q605">IFERROR(SUMPRODUCT((N605:P605&gt;0)*(N605:P605))/3, 0)</f>
        <v>0</v>
      </c>
      <c r="R605" s="10"/>
      <c r="S605" s="11" t="str">
        <f t="shared" si="72"/>
        <v/>
      </c>
      <c r="T605" s="7"/>
      <c r="U605" s="7"/>
      <c r="V605" s="7"/>
      <c r="W605" s="7"/>
      <c r="X605" s="7"/>
      <c r="Y605" s="7"/>
      <c r="Z605" s="15"/>
      <c r="AA605" s="15"/>
      <c r="AB605" s="11" t="str">
        <f t="shared" si="73"/>
        <v/>
      </c>
      <c r="AC605" s="11"/>
      <c r="AD605" s="11"/>
      <c r="AE605" s="11"/>
      <c r="AF605" s="11"/>
      <c r="AG605" s="11"/>
      <c r="AH605" s="11"/>
      <c r="AI605" s="11"/>
      <c r="AJ605" s="15"/>
      <c r="AK605" s="15"/>
      <c r="AL605" s="14">
        <f t="shared" si="74"/>
        <v>3</v>
      </c>
      <c r="AM605" s="11">
        <f t="shared" si="75"/>
        <v>3</v>
      </c>
      <c r="AN605" s="14">
        <f t="shared" si="76"/>
        <v>3</v>
      </c>
      <c r="AO605" s="15"/>
      <c r="AP605" s="15"/>
      <c r="AQ605" s="15"/>
    </row>
    <row r="606" spans="1:43" ht="51" hidden="1" x14ac:dyDescent="0.2">
      <c r="A606" s="7">
        <v>605</v>
      </c>
      <c r="B606" s="19" t="s">
        <v>1269</v>
      </c>
      <c r="C606" s="19" t="s">
        <v>1270</v>
      </c>
      <c r="D606" s="8" t="s">
        <v>34</v>
      </c>
      <c r="E606" s="19" t="s">
        <v>269</v>
      </c>
      <c r="F606" s="8" t="s">
        <v>36</v>
      </c>
      <c r="G606" s="7" t="s">
        <v>59</v>
      </c>
      <c r="H606" s="9" t="s">
        <v>44</v>
      </c>
      <c r="I606" s="10"/>
      <c r="J606" s="10" t="s">
        <v>40</v>
      </c>
      <c r="K606" s="10" t="s">
        <v>40</v>
      </c>
      <c r="L606" s="10" t="s">
        <v>40</v>
      </c>
      <c r="M606">
        <v>0</v>
      </c>
      <c r="N606">
        <v>0</v>
      </c>
      <c r="O606">
        <v>0</v>
      </c>
      <c r="P606" s="10" t="s">
        <v>44</v>
      </c>
      <c r="Q606" s="10">
        <f t="array" ref="Q606">IFERROR(SUMPRODUCT((N606:P606&gt;0)*(N606:P606))/3, 0)</f>
        <v>0</v>
      </c>
      <c r="R606" s="10"/>
      <c r="S606" s="11" t="str">
        <f t="shared" si="72"/>
        <v/>
      </c>
      <c r="T606" s="7"/>
      <c r="U606" s="7"/>
      <c r="V606" s="7"/>
      <c r="W606" s="7"/>
      <c r="X606" s="7"/>
      <c r="Y606" s="7"/>
      <c r="Z606" s="15"/>
      <c r="AA606" s="15"/>
      <c r="AB606" s="11" t="str">
        <f t="shared" si="73"/>
        <v/>
      </c>
      <c r="AC606" s="11"/>
      <c r="AD606" s="11"/>
      <c r="AE606" s="11"/>
      <c r="AF606" s="11"/>
      <c r="AG606" s="11"/>
      <c r="AH606" s="11"/>
      <c r="AI606" s="11"/>
      <c r="AJ606" s="15"/>
      <c r="AK606" s="15"/>
      <c r="AL606" s="14">
        <f t="shared" si="74"/>
        <v>3</v>
      </c>
      <c r="AM606" s="11">
        <f t="shared" si="75"/>
        <v>3</v>
      </c>
      <c r="AN606" s="14">
        <f t="shared" si="76"/>
        <v>3</v>
      </c>
      <c r="AO606" s="15"/>
      <c r="AP606" s="15"/>
      <c r="AQ606" s="15"/>
    </row>
    <row r="607" spans="1:43" ht="34" hidden="1" x14ac:dyDescent="0.2">
      <c r="A607" s="7">
        <v>606</v>
      </c>
      <c r="B607" s="19" t="s">
        <v>1271</v>
      </c>
      <c r="C607" s="19" t="s">
        <v>1272</v>
      </c>
      <c r="D607" s="8" t="s">
        <v>34</v>
      </c>
      <c r="E607" s="19" t="s">
        <v>269</v>
      </c>
      <c r="F607" s="8" t="s">
        <v>36</v>
      </c>
      <c r="G607" s="7" t="s">
        <v>59</v>
      </c>
      <c r="H607" s="9" t="s">
        <v>44</v>
      </c>
      <c r="I607" s="10"/>
      <c r="J607" s="10" t="s">
        <v>40</v>
      </c>
      <c r="K607" s="10" t="s">
        <v>40</v>
      </c>
      <c r="L607" s="10" t="s">
        <v>40</v>
      </c>
      <c r="M607">
        <v>0</v>
      </c>
      <c r="N607">
        <v>0</v>
      </c>
      <c r="O607">
        <v>0</v>
      </c>
      <c r="P607" s="10" t="s">
        <v>44</v>
      </c>
      <c r="Q607" s="10">
        <f t="array" ref="Q607">IFERROR(SUMPRODUCT((N607:P607&gt;0)*(N607:P607))/3, 0)</f>
        <v>0</v>
      </c>
      <c r="R607" s="10"/>
      <c r="S607" s="11" t="str">
        <f t="shared" si="72"/>
        <v/>
      </c>
      <c r="T607" s="7"/>
      <c r="U607" s="7"/>
      <c r="V607" s="7"/>
      <c r="W607" s="7"/>
      <c r="X607" s="7"/>
      <c r="Y607" s="7"/>
      <c r="Z607" s="15"/>
      <c r="AA607" s="15"/>
      <c r="AB607" s="11" t="str">
        <f t="shared" si="73"/>
        <v/>
      </c>
      <c r="AC607" s="11"/>
      <c r="AD607" s="11"/>
      <c r="AE607" s="11"/>
      <c r="AF607" s="11"/>
      <c r="AG607" s="11"/>
      <c r="AH607" s="11"/>
      <c r="AI607" s="11"/>
      <c r="AJ607" s="15"/>
      <c r="AK607" s="15"/>
      <c r="AL607" s="14">
        <f t="shared" si="74"/>
        <v>3</v>
      </c>
      <c r="AM607" s="11">
        <f t="shared" si="75"/>
        <v>3</v>
      </c>
      <c r="AN607" s="14">
        <f t="shared" si="76"/>
        <v>3</v>
      </c>
      <c r="AO607" s="15"/>
      <c r="AP607" s="15"/>
      <c r="AQ607" s="15"/>
    </row>
    <row r="608" spans="1:43" ht="34" hidden="1" x14ac:dyDescent="0.2">
      <c r="A608" s="7">
        <v>607</v>
      </c>
      <c r="B608" s="19" t="s">
        <v>1273</v>
      </c>
      <c r="C608" s="19" t="s">
        <v>1274</v>
      </c>
      <c r="D608" s="8" t="s">
        <v>34</v>
      </c>
      <c r="E608" s="19" t="s">
        <v>269</v>
      </c>
      <c r="F608" s="8" t="s">
        <v>36</v>
      </c>
      <c r="G608" s="7" t="s">
        <v>59</v>
      </c>
      <c r="H608" s="9" t="s">
        <v>44</v>
      </c>
      <c r="I608" s="10"/>
      <c r="J608" s="10" t="s">
        <v>40</v>
      </c>
      <c r="K608" s="10" t="s">
        <v>40</v>
      </c>
      <c r="L608" s="10" t="s">
        <v>40</v>
      </c>
      <c r="M608">
        <v>0</v>
      </c>
      <c r="N608">
        <v>0</v>
      </c>
      <c r="O608">
        <v>0</v>
      </c>
      <c r="P608" s="10" t="s">
        <v>44</v>
      </c>
      <c r="Q608" s="10">
        <f t="array" ref="Q608">IFERROR(SUMPRODUCT((N608:P608&gt;0)*(N608:P608))/3, 0)</f>
        <v>0</v>
      </c>
      <c r="R608" s="10"/>
      <c r="S608" s="11" t="str">
        <f t="shared" si="72"/>
        <v/>
      </c>
      <c r="T608" s="7"/>
      <c r="U608" s="7"/>
      <c r="V608" s="7"/>
      <c r="W608" s="7"/>
      <c r="X608" s="7"/>
      <c r="Y608" s="7"/>
      <c r="Z608" s="15"/>
      <c r="AA608" s="15"/>
      <c r="AB608" s="11" t="str">
        <f t="shared" si="73"/>
        <v/>
      </c>
      <c r="AC608" s="11"/>
      <c r="AD608" s="11"/>
      <c r="AE608" s="11"/>
      <c r="AF608" s="11"/>
      <c r="AG608" s="11"/>
      <c r="AH608" s="11"/>
      <c r="AI608" s="11"/>
      <c r="AJ608" s="15"/>
      <c r="AK608" s="15"/>
      <c r="AL608" s="14">
        <f t="shared" si="74"/>
        <v>3</v>
      </c>
      <c r="AM608" s="11">
        <f t="shared" si="75"/>
        <v>3</v>
      </c>
      <c r="AN608" s="14">
        <f t="shared" si="76"/>
        <v>3</v>
      </c>
      <c r="AO608" s="15"/>
      <c r="AP608" s="15"/>
      <c r="AQ608" s="15"/>
    </row>
    <row r="609" spans="1:43" ht="34" hidden="1" x14ac:dyDescent="0.2">
      <c r="A609" s="7">
        <v>608</v>
      </c>
      <c r="B609" s="19" t="s">
        <v>1275</v>
      </c>
      <c r="C609" s="19" t="s">
        <v>1276</v>
      </c>
      <c r="D609" s="8" t="s">
        <v>34</v>
      </c>
      <c r="E609" s="19" t="s">
        <v>269</v>
      </c>
      <c r="F609" s="8" t="s">
        <v>36</v>
      </c>
      <c r="G609" s="7" t="s">
        <v>59</v>
      </c>
      <c r="H609" s="9" t="s">
        <v>44</v>
      </c>
      <c r="I609" s="10"/>
      <c r="J609" s="10" t="s">
        <v>40</v>
      </c>
      <c r="K609" s="10" t="s">
        <v>40</v>
      </c>
      <c r="L609" s="10" t="s">
        <v>40</v>
      </c>
      <c r="M609">
        <v>0</v>
      </c>
      <c r="N609">
        <v>0</v>
      </c>
      <c r="O609">
        <v>0</v>
      </c>
      <c r="P609" s="10" t="s">
        <v>44</v>
      </c>
      <c r="Q609" s="10">
        <f t="array" ref="Q609">IFERROR(SUMPRODUCT((N609:P609&gt;0)*(N609:P609))/3, 0)</f>
        <v>0</v>
      </c>
      <c r="R609" s="10"/>
      <c r="S609" s="11" t="str">
        <f t="shared" si="72"/>
        <v/>
      </c>
      <c r="T609" s="7"/>
      <c r="U609" s="7"/>
      <c r="V609" s="7"/>
      <c r="W609" s="7"/>
      <c r="X609" s="7"/>
      <c r="Y609" s="7"/>
      <c r="Z609" s="15"/>
      <c r="AA609" s="15"/>
      <c r="AB609" s="11" t="str">
        <f t="shared" si="73"/>
        <v/>
      </c>
      <c r="AC609" s="11"/>
      <c r="AD609" s="11"/>
      <c r="AE609" s="11"/>
      <c r="AF609" s="11"/>
      <c r="AG609" s="11"/>
      <c r="AH609" s="11"/>
      <c r="AI609" s="11"/>
      <c r="AJ609" s="15"/>
      <c r="AK609" s="15"/>
      <c r="AL609" s="14">
        <f t="shared" si="74"/>
        <v>3</v>
      </c>
      <c r="AM609" s="11">
        <f t="shared" si="75"/>
        <v>3</v>
      </c>
      <c r="AN609" s="14">
        <f t="shared" si="76"/>
        <v>3</v>
      </c>
      <c r="AO609" s="15"/>
      <c r="AP609" s="15"/>
      <c r="AQ609" s="15"/>
    </row>
    <row r="610" spans="1:43" ht="34" hidden="1" x14ac:dyDescent="0.2">
      <c r="A610" s="7">
        <v>609</v>
      </c>
      <c r="B610" s="19" t="s">
        <v>1277</v>
      </c>
      <c r="C610" s="19" t="s">
        <v>1278</v>
      </c>
      <c r="D610" s="8" t="s">
        <v>34</v>
      </c>
      <c r="E610" s="19" t="s">
        <v>269</v>
      </c>
      <c r="F610" s="8" t="s">
        <v>36</v>
      </c>
      <c r="G610" s="7" t="s">
        <v>59</v>
      </c>
      <c r="H610" s="9" t="s">
        <v>44</v>
      </c>
      <c r="I610" s="10"/>
      <c r="J610" s="10" t="s">
        <v>40</v>
      </c>
      <c r="K610" s="10" t="s">
        <v>40</v>
      </c>
      <c r="L610" s="10" t="s">
        <v>40</v>
      </c>
      <c r="M610">
        <v>0</v>
      </c>
      <c r="N610">
        <v>0</v>
      </c>
      <c r="O610">
        <v>0</v>
      </c>
      <c r="P610" s="10" t="s">
        <v>44</v>
      </c>
      <c r="Q610" s="10">
        <f t="array" ref="Q610">IFERROR(SUMPRODUCT((N610:P610&gt;0)*(N610:P610))/3, 0)</f>
        <v>0</v>
      </c>
      <c r="R610" s="10"/>
      <c r="S610" s="11" t="str">
        <f t="shared" si="72"/>
        <v/>
      </c>
      <c r="T610" s="7"/>
      <c r="U610" s="7"/>
      <c r="V610" s="7"/>
      <c r="W610" s="7"/>
      <c r="X610" s="7"/>
      <c r="Y610" s="7"/>
      <c r="Z610" s="15"/>
      <c r="AA610" s="15"/>
      <c r="AB610" s="11" t="str">
        <f t="shared" si="73"/>
        <v/>
      </c>
      <c r="AC610" s="11"/>
      <c r="AD610" s="11"/>
      <c r="AE610" s="11"/>
      <c r="AF610" s="11"/>
      <c r="AG610" s="11"/>
      <c r="AH610" s="11"/>
      <c r="AI610" s="11"/>
      <c r="AJ610" s="15"/>
      <c r="AK610" s="15"/>
      <c r="AL610" s="14">
        <f t="shared" si="74"/>
        <v>3</v>
      </c>
      <c r="AM610" s="11">
        <f t="shared" si="75"/>
        <v>3</v>
      </c>
      <c r="AN610" s="14">
        <f t="shared" si="76"/>
        <v>3</v>
      </c>
      <c r="AO610" s="15"/>
      <c r="AP610" s="15"/>
      <c r="AQ610" s="15"/>
    </row>
    <row r="611" spans="1:43" ht="34" hidden="1" x14ac:dyDescent="0.2">
      <c r="A611" s="7">
        <v>610</v>
      </c>
      <c r="B611" s="19" t="s">
        <v>1279</v>
      </c>
      <c r="C611" s="19" t="s">
        <v>1280</v>
      </c>
      <c r="D611" s="8" t="s">
        <v>34</v>
      </c>
      <c r="E611" s="19" t="s">
        <v>269</v>
      </c>
      <c r="F611" s="8" t="s">
        <v>36</v>
      </c>
      <c r="G611" s="7" t="s">
        <v>59</v>
      </c>
      <c r="H611" s="9" t="s">
        <v>44</v>
      </c>
      <c r="I611" s="10"/>
      <c r="J611" s="10" t="s">
        <v>40</v>
      </c>
      <c r="K611" s="10" t="s">
        <v>40</v>
      </c>
      <c r="L611" s="10" t="s">
        <v>40</v>
      </c>
      <c r="M611">
        <v>0</v>
      </c>
      <c r="N611">
        <v>0</v>
      </c>
      <c r="O611">
        <v>0</v>
      </c>
      <c r="P611" s="10" t="s">
        <v>44</v>
      </c>
      <c r="Q611" s="10">
        <f t="array" ref="Q611">IFERROR(SUMPRODUCT((N611:P611&gt;0)*(N611:P611))/3, 0)</f>
        <v>0</v>
      </c>
      <c r="R611" s="10"/>
      <c r="S611" s="11" t="str">
        <f t="shared" si="72"/>
        <v/>
      </c>
      <c r="T611" s="7"/>
      <c r="U611" s="7"/>
      <c r="V611" s="7"/>
      <c r="W611" s="7"/>
      <c r="X611" s="7"/>
      <c r="Y611" s="7"/>
      <c r="Z611" s="15"/>
      <c r="AA611" s="15"/>
      <c r="AB611" s="11" t="str">
        <f t="shared" si="73"/>
        <v/>
      </c>
      <c r="AC611" s="11"/>
      <c r="AD611" s="11"/>
      <c r="AE611" s="11"/>
      <c r="AF611" s="11"/>
      <c r="AG611" s="11"/>
      <c r="AH611" s="11"/>
      <c r="AI611" s="11"/>
      <c r="AJ611" s="15"/>
      <c r="AK611" s="15"/>
      <c r="AL611" s="14">
        <f t="shared" si="74"/>
        <v>3</v>
      </c>
      <c r="AM611" s="11">
        <f t="shared" si="75"/>
        <v>3</v>
      </c>
      <c r="AN611" s="14">
        <f t="shared" si="76"/>
        <v>3</v>
      </c>
      <c r="AO611" s="15"/>
      <c r="AP611" s="15"/>
      <c r="AQ611" s="15"/>
    </row>
    <row r="612" spans="1:43" ht="34" hidden="1" x14ac:dyDescent="0.2">
      <c r="A612" s="7">
        <v>611</v>
      </c>
      <c r="B612" s="19" t="s">
        <v>1281</v>
      </c>
      <c r="C612" s="19" t="s">
        <v>1282</v>
      </c>
      <c r="D612" s="8" t="s">
        <v>34</v>
      </c>
      <c r="E612" s="19" t="s">
        <v>269</v>
      </c>
      <c r="F612" s="8" t="s">
        <v>36</v>
      </c>
      <c r="G612" s="7" t="s">
        <v>59</v>
      </c>
      <c r="H612" s="9" t="s">
        <v>44</v>
      </c>
      <c r="I612" s="10"/>
      <c r="J612" s="10" t="s">
        <v>40</v>
      </c>
      <c r="K612" s="10" t="s">
        <v>40</v>
      </c>
      <c r="L612" s="10" t="s">
        <v>40</v>
      </c>
      <c r="M612">
        <v>0</v>
      </c>
      <c r="N612">
        <v>0</v>
      </c>
      <c r="O612">
        <v>0</v>
      </c>
      <c r="P612" s="10" t="s">
        <v>44</v>
      </c>
      <c r="Q612" s="10">
        <f t="array" ref="Q612">IFERROR(SUMPRODUCT((N612:P612&gt;0)*(N612:P612))/3, 0)</f>
        <v>0</v>
      </c>
      <c r="R612" s="10"/>
      <c r="S612" s="11" t="str">
        <f t="shared" si="72"/>
        <v/>
      </c>
      <c r="T612" s="7"/>
      <c r="U612" s="7"/>
      <c r="V612" s="7"/>
      <c r="W612" s="7"/>
      <c r="X612" s="7"/>
      <c r="Y612" s="7"/>
      <c r="Z612" s="15"/>
      <c r="AA612" s="15"/>
      <c r="AB612" s="11" t="str">
        <f t="shared" si="73"/>
        <v/>
      </c>
      <c r="AC612" s="11"/>
      <c r="AD612" s="11"/>
      <c r="AE612" s="11"/>
      <c r="AF612" s="11"/>
      <c r="AG612" s="11"/>
      <c r="AH612" s="11"/>
      <c r="AI612" s="11"/>
      <c r="AJ612" s="15"/>
      <c r="AK612" s="15"/>
      <c r="AL612" s="14">
        <f t="shared" si="74"/>
        <v>3</v>
      </c>
      <c r="AM612" s="11">
        <f t="shared" si="75"/>
        <v>3</v>
      </c>
      <c r="AN612" s="14">
        <f t="shared" si="76"/>
        <v>3</v>
      </c>
      <c r="AO612" s="15"/>
      <c r="AP612" s="15"/>
      <c r="AQ612" s="15"/>
    </row>
    <row r="613" spans="1:43" ht="51" hidden="1" x14ac:dyDescent="0.2">
      <c r="A613" s="7">
        <v>612</v>
      </c>
      <c r="B613" s="19" t="s">
        <v>1283</v>
      </c>
      <c r="C613" s="19" t="s">
        <v>1284</v>
      </c>
      <c r="D613" s="8" t="s">
        <v>34</v>
      </c>
      <c r="E613" s="19" t="s">
        <v>269</v>
      </c>
      <c r="F613" s="8" t="s">
        <v>36</v>
      </c>
      <c r="G613" s="7" t="s">
        <v>59</v>
      </c>
      <c r="H613" s="9" t="s">
        <v>44</v>
      </c>
      <c r="I613" s="10"/>
      <c r="J613" s="10" t="s">
        <v>40</v>
      </c>
      <c r="K613" s="10" t="s">
        <v>40</v>
      </c>
      <c r="L613" s="10" t="s">
        <v>40</v>
      </c>
      <c r="M613">
        <v>0</v>
      </c>
      <c r="N613">
        <v>0</v>
      </c>
      <c r="O613">
        <v>0</v>
      </c>
      <c r="P613" s="10" t="s">
        <v>44</v>
      </c>
      <c r="Q613" s="10">
        <f t="array" ref="Q613">IFERROR(SUMPRODUCT((N613:P613&gt;0)*(N613:P613))/3, 0)</f>
        <v>0</v>
      </c>
      <c r="R613" s="10"/>
      <c r="S613" s="11" t="str">
        <f t="shared" si="72"/>
        <v/>
      </c>
      <c r="T613" s="7"/>
      <c r="U613" s="7"/>
      <c r="V613" s="7"/>
      <c r="W613" s="7"/>
      <c r="X613" s="7"/>
      <c r="Y613" s="7"/>
      <c r="Z613" s="15"/>
      <c r="AA613" s="15"/>
      <c r="AB613" s="11" t="str">
        <f t="shared" si="73"/>
        <v/>
      </c>
      <c r="AC613" s="11"/>
      <c r="AD613" s="11"/>
      <c r="AE613" s="11"/>
      <c r="AF613" s="11"/>
      <c r="AG613" s="11"/>
      <c r="AH613" s="11"/>
      <c r="AI613" s="11"/>
      <c r="AJ613" s="15"/>
      <c r="AK613" s="15"/>
      <c r="AL613" s="14">
        <f t="shared" si="74"/>
        <v>3</v>
      </c>
      <c r="AM613" s="11">
        <f t="shared" si="75"/>
        <v>3</v>
      </c>
      <c r="AN613" s="14">
        <f t="shared" si="76"/>
        <v>3</v>
      </c>
      <c r="AO613" s="15"/>
      <c r="AP613" s="15"/>
      <c r="AQ613" s="15"/>
    </row>
    <row r="614" spans="1:43" ht="51" hidden="1" x14ac:dyDescent="0.2">
      <c r="A614" s="7">
        <v>613</v>
      </c>
      <c r="B614" s="19" t="s">
        <v>1285</v>
      </c>
      <c r="C614" s="19" t="s">
        <v>1286</v>
      </c>
      <c r="D614" s="8" t="s">
        <v>34</v>
      </c>
      <c r="E614" s="19" t="s">
        <v>269</v>
      </c>
      <c r="F614" s="8" t="s">
        <v>36</v>
      </c>
      <c r="G614" s="7" t="s">
        <v>59</v>
      </c>
      <c r="H614" s="9" t="s">
        <v>44</v>
      </c>
      <c r="I614" s="10"/>
      <c r="J614" s="10" t="s">
        <v>40</v>
      </c>
      <c r="K614" s="10" t="s">
        <v>40</v>
      </c>
      <c r="L614" s="10" t="s">
        <v>40</v>
      </c>
      <c r="M614">
        <v>0</v>
      </c>
      <c r="N614">
        <v>0</v>
      </c>
      <c r="O614">
        <v>0</v>
      </c>
      <c r="P614" s="10" t="s">
        <v>44</v>
      </c>
      <c r="Q614" s="10">
        <f t="array" ref="Q614">IFERROR(SUMPRODUCT((N614:P614&gt;0)*(N614:P614))/3, 0)</f>
        <v>0</v>
      </c>
      <c r="R614" s="10"/>
      <c r="S614" s="11" t="str">
        <f t="shared" si="72"/>
        <v/>
      </c>
      <c r="T614" s="7"/>
      <c r="U614" s="7"/>
      <c r="V614" s="7"/>
      <c r="W614" s="7"/>
      <c r="X614" s="7"/>
      <c r="Y614" s="7"/>
      <c r="Z614" s="15"/>
      <c r="AA614" s="15"/>
      <c r="AB614" s="11" t="str">
        <f t="shared" si="73"/>
        <v/>
      </c>
      <c r="AC614" s="11"/>
      <c r="AD614" s="11"/>
      <c r="AE614" s="11"/>
      <c r="AF614" s="11"/>
      <c r="AG614" s="11"/>
      <c r="AH614" s="11"/>
      <c r="AI614" s="11"/>
      <c r="AJ614" s="15"/>
      <c r="AK614" s="15"/>
      <c r="AL614" s="14">
        <f t="shared" si="74"/>
        <v>3</v>
      </c>
      <c r="AM614" s="11">
        <f t="shared" si="75"/>
        <v>3</v>
      </c>
      <c r="AN614" s="14">
        <f t="shared" si="76"/>
        <v>3</v>
      </c>
      <c r="AO614" s="15"/>
      <c r="AP614" s="15"/>
      <c r="AQ614" s="15"/>
    </row>
    <row r="615" spans="1:43" ht="51" hidden="1" x14ac:dyDescent="0.2">
      <c r="A615" s="7">
        <v>614</v>
      </c>
      <c r="B615" s="19" t="s">
        <v>1287</v>
      </c>
      <c r="C615" s="19" t="s">
        <v>1288</v>
      </c>
      <c r="D615" s="8" t="s">
        <v>34</v>
      </c>
      <c r="E615" s="19" t="s">
        <v>269</v>
      </c>
      <c r="F615" s="8" t="s">
        <v>36</v>
      </c>
      <c r="G615" s="7" t="s">
        <v>59</v>
      </c>
      <c r="H615" s="9" t="s">
        <v>44</v>
      </c>
      <c r="I615" s="10"/>
      <c r="J615" s="10" t="s">
        <v>40</v>
      </c>
      <c r="K615" s="10" t="s">
        <v>40</v>
      </c>
      <c r="L615" s="10" t="s">
        <v>40</v>
      </c>
      <c r="M615">
        <v>0</v>
      </c>
      <c r="N615">
        <v>0</v>
      </c>
      <c r="O615">
        <v>0</v>
      </c>
      <c r="P615" s="10" t="s">
        <v>44</v>
      </c>
      <c r="Q615" s="10">
        <f t="array" ref="Q615">IFERROR(SUMPRODUCT((N615:P615&gt;0)*(N615:P615))/3, 0)</f>
        <v>0</v>
      </c>
      <c r="R615" s="10"/>
      <c r="S615" s="11" t="str">
        <f t="shared" si="72"/>
        <v/>
      </c>
      <c r="T615" s="7"/>
      <c r="U615" s="7"/>
      <c r="V615" s="7"/>
      <c r="W615" s="7"/>
      <c r="X615" s="7"/>
      <c r="Y615" s="7"/>
      <c r="Z615" s="15"/>
      <c r="AA615" s="15"/>
      <c r="AB615" s="11" t="str">
        <f t="shared" si="73"/>
        <v/>
      </c>
      <c r="AC615" s="11"/>
      <c r="AD615" s="11"/>
      <c r="AE615" s="11"/>
      <c r="AF615" s="11"/>
      <c r="AG615" s="11"/>
      <c r="AH615" s="11"/>
      <c r="AI615" s="11"/>
      <c r="AJ615" s="15"/>
      <c r="AK615" s="15"/>
      <c r="AL615" s="14">
        <f t="shared" si="74"/>
        <v>3</v>
      </c>
      <c r="AM615" s="11">
        <f t="shared" si="75"/>
        <v>3</v>
      </c>
      <c r="AN615" s="14">
        <f t="shared" si="76"/>
        <v>3</v>
      </c>
      <c r="AO615" s="15"/>
      <c r="AP615" s="15"/>
      <c r="AQ615" s="15"/>
    </row>
    <row r="616" spans="1:43" ht="51" hidden="1" x14ac:dyDescent="0.2">
      <c r="A616" s="7">
        <v>615</v>
      </c>
      <c r="B616" s="19" t="s">
        <v>1289</v>
      </c>
      <c r="C616" s="19" t="s">
        <v>1290</v>
      </c>
      <c r="D616" s="8" t="s">
        <v>34</v>
      </c>
      <c r="E616" s="19" t="s">
        <v>269</v>
      </c>
      <c r="F616" s="8" t="s">
        <v>36</v>
      </c>
      <c r="G616" s="7" t="s">
        <v>59</v>
      </c>
      <c r="H616" s="9" t="s">
        <v>44</v>
      </c>
      <c r="I616" s="10"/>
      <c r="J616" s="10" t="s">
        <v>40</v>
      </c>
      <c r="K616" s="10" t="s">
        <v>40</v>
      </c>
      <c r="L616" s="10" t="s">
        <v>40</v>
      </c>
      <c r="M616">
        <v>0</v>
      </c>
      <c r="N616">
        <v>0</v>
      </c>
      <c r="O616">
        <v>0</v>
      </c>
      <c r="P616" s="10" t="s">
        <v>44</v>
      </c>
      <c r="Q616" s="10">
        <f t="array" ref="Q616">IFERROR(SUMPRODUCT((N616:P616&gt;0)*(N616:P616))/3, 0)</f>
        <v>0</v>
      </c>
      <c r="R616" s="10"/>
      <c r="S616" s="11" t="str">
        <f t="shared" si="72"/>
        <v/>
      </c>
      <c r="T616" s="7"/>
      <c r="U616" s="7"/>
      <c r="V616" s="7"/>
      <c r="W616" s="7"/>
      <c r="X616" s="7"/>
      <c r="Y616" s="7"/>
      <c r="Z616" s="15"/>
      <c r="AA616" s="15"/>
      <c r="AB616" s="11" t="str">
        <f t="shared" si="73"/>
        <v/>
      </c>
      <c r="AC616" s="11"/>
      <c r="AD616" s="11"/>
      <c r="AE616" s="11"/>
      <c r="AF616" s="11"/>
      <c r="AG616" s="11"/>
      <c r="AH616" s="11"/>
      <c r="AI616" s="11"/>
      <c r="AJ616" s="15"/>
      <c r="AK616" s="15"/>
      <c r="AL616" s="14">
        <f t="shared" si="74"/>
        <v>3</v>
      </c>
      <c r="AM616" s="11">
        <f t="shared" si="75"/>
        <v>3</v>
      </c>
      <c r="AN616" s="14">
        <f t="shared" si="76"/>
        <v>3</v>
      </c>
      <c r="AO616" s="15"/>
      <c r="AP616" s="15"/>
      <c r="AQ616" s="15"/>
    </row>
    <row r="617" spans="1:43" ht="34" hidden="1" x14ac:dyDescent="0.2">
      <c r="A617" s="7">
        <v>616</v>
      </c>
      <c r="B617" s="19" t="s">
        <v>1291</v>
      </c>
      <c r="C617" s="19" t="s">
        <v>1292</v>
      </c>
      <c r="D617" s="8" t="s">
        <v>34</v>
      </c>
      <c r="E617" s="19" t="s">
        <v>269</v>
      </c>
      <c r="F617" s="8" t="s">
        <v>36</v>
      </c>
      <c r="G617" s="7" t="s">
        <v>59</v>
      </c>
      <c r="H617" s="9" t="s">
        <v>44</v>
      </c>
      <c r="I617" s="10"/>
      <c r="J617" s="10" t="s">
        <v>40</v>
      </c>
      <c r="K617" s="10" t="s">
        <v>40</v>
      </c>
      <c r="L617" s="10" t="s">
        <v>40</v>
      </c>
      <c r="M617">
        <v>0</v>
      </c>
      <c r="N617">
        <v>0</v>
      </c>
      <c r="O617">
        <v>0</v>
      </c>
      <c r="P617" s="10" t="s">
        <v>44</v>
      </c>
      <c r="Q617" s="10">
        <f t="array" ref="Q617">IFERROR(SUMPRODUCT((N617:P617&gt;0)*(N617:P617))/3, 0)</f>
        <v>0</v>
      </c>
      <c r="R617" s="10"/>
      <c r="S617" s="11" t="str">
        <f t="shared" si="72"/>
        <v/>
      </c>
      <c r="T617" s="7"/>
      <c r="U617" s="7"/>
      <c r="V617" s="7"/>
      <c r="W617" s="7"/>
      <c r="X617" s="7"/>
      <c r="Y617" s="7"/>
      <c r="Z617" s="15"/>
      <c r="AA617" s="15"/>
      <c r="AB617" s="11" t="str">
        <f t="shared" si="73"/>
        <v/>
      </c>
      <c r="AC617" s="11"/>
      <c r="AD617" s="11"/>
      <c r="AE617" s="11"/>
      <c r="AF617" s="11"/>
      <c r="AG617" s="11"/>
      <c r="AH617" s="11"/>
      <c r="AI617" s="11"/>
      <c r="AJ617" s="15"/>
      <c r="AK617" s="15"/>
      <c r="AL617" s="14">
        <f t="shared" si="74"/>
        <v>3</v>
      </c>
      <c r="AM617" s="11">
        <f t="shared" si="75"/>
        <v>3</v>
      </c>
      <c r="AN617" s="14">
        <f t="shared" si="76"/>
        <v>3</v>
      </c>
      <c r="AO617" s="15"/>
      <c r="AP617" s="15"/>
      <c r="AQ617" s="15"/>
    </row>
    <row r="618" spans="1:43" ht="34" hidden="1" x14ac:dyDescent="0.2">
      <c r="A618" s="7">
        <v>617</v>
      </c>
      <c r="B618" s="19" t="s">
        <v>1293</v>
      </c>
      <c r="C618" s="19" t="s">
        <v>1294</v>
      </c>
      <c r="D618" s="8" t="s">
        <v>34</v>
      </c>
      <c r="E618" s="19" t="s">
        <v>269</v>
      </c>
      <c r="F618" s="8" t="s">
        <v>36</v>
      </c>
      <c r="G618" s="7" t="s">
        <v>59</v>
      </c>
      <c r="H618" s="9" t="s">
        <v>44</v>
      </c>
      <c r="I618" s="10"/>
      <c r="J618" s="10" t="s">
        <v>40</v>
      </c>
      <c r="K618" s="10" t="s">
        <v>40</v>
      </c>
      <c r="L618" s="10" t="s">
        <v>40</v>
      </c>
      <c r="M618">
        <v>0</v>
      </c>
      <c r="N618">
        <v>0</v>
      </c>
      <c r="O618">
        <v>0</v>
      </c>
      <c r="P618" s="10" t="s">
        <v>44</v>
      </c>
      <c r="Q618" s="10">
        <f t="array" ref="Q618">IFERROR(SUMPRODUCT((N618:P618&gt;0)*(N618:P618))/3, 0)</f>
        <v>0</v>
      </c>
      <c r="R618" s="10"/>
      <c r="S618" s="11" t="str">
        <f t="shared" si="72"/>
        <v/>
      </c>
      <c r="T618" s="7"/>
      <c r="U618" s="7"/>
      <c r="V618" s="7"/>
      <c r="W618" s="7"/>
      <c r="X618" s="7"/>
      <c r="Y618" s="7"/>
      <c r="Z618" s="15"/>
      <c r="AA618" s="15"/>
      <c r="AB618" s="11" t="str">
        <f t="shared" si="73"/>
        <v/>
      </c>
      <c r="AC618" s="11"/>
      <c r="AD618" s="11"/>
      <c r="AE618" s="11"/>
      <c r="AF618" s="11"/>
      <c r="AG618" s="11"/>
      <c r="AH618" s="11"/>
      <c r="AI618" s="11"/>
      <c r="AJ618" s="15"/>
      <c r="AK618" s="15"/>
      <c r="AL618" s="14">
        <f t="shared" si="74"/>
        <v>3</v>
      </c>
      <c r="AM618" s="11">
        <f t="shared" si="75"/>
        <v>3</v>
      </c>
      <c r="AN618" s="14">
        <f t="shared" si="76"/>
        <v>3</v>
      </c>
      <c r="AO618" s="15"/>
      <c r="AP618" s="15"/>
      <c r="AQ618" s="15"/>
    </row>
    <row r="619" spans="1:43" ht="34" hidden="1" x14ac:dyDescent="0.2">
      <c r="A619" s="7">
        <v>618</v>
      </c>
      <c r="B619" s="19" t="s">
        <v>1295</v>
      </c>
      <c r="C619" s="19" t="s">
        <v>1296</v>
      </c>
      <c r="D619" s="8" t="s">
        <v>34</v>
      </c>
      <c r="E619" s="19" t="s">
        <v>269</v>
      </c>
      <c r="F619" s="8" t="s">
        <v>36</v>
      </c>
      <c r="G619" s="7" t="s">
        <v>59</v>
      </c>
      <c r="H619" s="9" t="s">
        <v>44</v>
      </c>
      <c r="I619" s="10"/>
      <c r="J619" s="10" t="s">
        <v>40</v>
      </c>
      <c r="K619" s="10" t="s">
        <v>40</v>
      </c>
      <c r="L619" s="10" t="s">
        <v>40</v>
      </c>
      <c r="M619">
        <v>0</v>
      </c>
      <c r="N619">
        <v>0</v>
      </c>
      <c r="O619">
        <v>0</v>
      </c>
      <c r="P619" s="10" t="s">
        <v>44</v>
      </c>
      <c r="Q619" s="10">
        <f t="array" ref="Q619">IFERROR(SUMPRODUCT((N619:P619&gt;0)*(N619:P619))/3, 0)</f>
        <v>0</v>
      </c>
      <c r="R619" s="10"/>
      <c r="S619" s="11" t="str">
        <f t="shared" si="72"/>
        <v/>
      </c>
      <c r="T619" s="7"/>
      <c r="U619" s="7"/>
      <c r="V619" s="7"/>
      <c r="W619" s="7"/>
      <c r="X619" s="7"/>
      <c r="Y619" s="7"/>
      <c r="Z619" s="15"/>
      <c r="AA619" s="15"/>
      <c r="AB619" s="11" t="str">
        <f t="shared" si="73"/>
        <v/>
      </c>
      <c r="AC619" s="11"/>
      <c r="AD619" s="11"/>
      <c r="AE619" s="11"/>
      <c r="AF619" s="11"/>
      <c r="AG619" s="11"/>
      <c r="AH619" s="11"/>
      <c r="AI619" s="11"/>
      <c r="AJ619" s="15"/>
      <c r="AK619" s="15"/>
      <c r="AL619" s="14">
        <f t="shared" si="74"/>
        <v>3</v>
      </c>
      <c r="AM619" s="11">
        <f t="shared" si="75"/>
        <v>3</v>
      </c>
      <c r="AN619" s="14">
        <f t="shared" si="76"/>
        <v>3</v>
      </c>
      <c r="AO619" s="15"/>
      <c r="AP619" s="15"/>
      <c r="AQ619" s="15"/>
    </row>
    <row r="620" spans="1:43" ht="34" hidden="1" x14ac:dyDescent="0.2">
      <c r="A620" s="7">
        <v>619</v>
      </c>
      <c r="B620" s="19" t="s">
        <v>1297</v>
      </c>
      <c r="C620" s="19" t="s">
        <v>1298</v>
      </c>
      <c r="D620" s="8" t="s">
        <v>34</v>
      </c>
      <c r="E620" s="19" t="s">
        <v>269</v>
      </c>
      <c r="F620" s="8" t="s">
        <v>36</v>
      </c>
      <c r="G620" s="7" t="s">
        <v>59</v>
      </c>
      <c r="H620" s="9" t="s">
        <v>44</v>
      </c>
      <c r="I620" s="10"/>
      <c r="J620" s="10" t="s">
        <v>40</v>
      </c>
      <c r="K620" s="10" t="s">
        <v>40</v>
      </c>
      <c r="L620" s="10" t="s">
        <v>40</v>
      </c>
      <c r="M620">
        <v>0</v>
      </c>
      <c r="N620">
        <v>0</v>
      </c>
      <c r="O620">
        <v>0</v>
      </c>
      <c r="P620" s="10" t="s">
        <v>44</v>
      </c>
      <c r="Q620" s="10">
        <f t="array" ref="Q620">IFERROR(SUMPRODUCT((N620:P620&gt;0)*(N620:P620))/3, 0)</f>
        <v>0</v>
      </c>
      <c r="R620" s="10"/>
      <c r="S620" s="11" t="str">
        <f t="shared" si="72"/>
        <v/>
      </c>
      <c r="T620" s="7"/>
      <c r="U620" s="7"/>
      <c r="V620" s="7"/>
      <c r="W620" s="7"/>
      <c r="X620" s="7"/>
      <c r="Y620" s="7"/>
      <c r="Z620" s="15"/>
      <c r="AA620" s="15"/>
      <c r="AB620" s="11" t="str">
        <f t="shared" si="73"/>
        <v/>
      </c>
      <c r="AC620" s="11"/>
      <c r="AD620" s="11"/>
      <c r="AE620" s="11"/>
      <c r="AF620" s="11"/>
      <c r="AG620" s="11"/>
      <c r="AH620" s="11"/>
      <c r="AI620" s="11"/>
      <c r="AJ620" s="15"/>
      <c r="AK620" s="15"/>
      <c r="AL620" s="14">
        <f t="shared" si="74"/>
        <v>3</v>
      </c>
      <c r="AM620" s="11">
        <f t="shared" si="75"/>
        <v>3</v>
      </c>
      <c r="AN620" s="14">
        <f t="shared" si="76"/>
        <v>3</v>
      </c>
      <c r="AO620" s="15"/>
      <c r="AP620" s="15"/>
      <c r="AQ620" s="15"/>
    </row>
    <row r="621" spans="1:43" ht="51" hidden="1" x14ac:dyDescent="0.2">
      <c r="A621" s="7">
        <v>620</v>
      </c>
      <c r="B621" s="19" t="s">
        <v>1299</v>
      </c>
      <c r="C621" s="19" t="s">
        <v>1300</v>
      </c>
      <c r="D621" s="8" t="s">
        <v>34</v>
      </c>
      <c r="E621" s="19" t="s">
        <v>269</v>
      </c>
      <c r="F621" s="8" t="s">
        <v>36</v>
      </c>
      <c r="G621" s="7" t="s">
        <v>59</v>
      </c>
      <c r="H621" s="9" t="s">
        <v>44</v>
      </c>
      <c r="I621" s="10"/>
      <c r="J621" s="10" t="s">
        <v>40</v>
      </c>
      <c r="K621" s="10" t="s">
        <v>40</v>
      </c>
      <c r="L621" s="10" t="s">
        <v>40</v>
      </c>
      <c r="M621">
        <v>0</v>
      </c>
      <c r="N621">
        <v>0</v>
      </c>
      <c r="O621">
        <v>0</v>
      </c>
      <c r="P621" s="10" t="s">
        <v>44</v>
      </c>
      <c r="Q621" s="10">
        <f t="array" ref="Q621">IFERROR(SUMPRODUCT((N621:P621&gt;0)*(N621:P621))/3, 0)</f>
        <v>0</v>
      </c>
      <c r="R621" s="10"/>
      <c r="S621" s="11" t="str">
        <f t="shared" si="72"/>
        <v/>
      </c>
      <c r="T621" s="7"/>
      <c r="U621" s="7"/>
      <c r="V621" s="7"/>
      <c r="W621" s="7"/>
      <c r="X621" s="7"/>
      <c r="Y621" s="7"/>
      <c r="Z621" s="15"/>
      <c r="AA621" s="15"/>
      <c r="AB621" s="11" t="str">
        <f t="shared" si="73"/>
        <v/>
      </c>
      <c r="AC621" s="11"/>
      <c r="AD621" s="11"/>
      <c r="AE621" s="11"/>
      <c r="AF621" s="11"/>
      <c r="AG621" s="11"/>
      <c r="AH621" s="11"/>
      <c r="AI621" s="11"/>
      <c r="AJ621" s="15"/>
      <c r="AK621" s="15"/>
      <c r="AL621" s="14">
        <f t="shared" si="74"/>
        <v>3</v>
      </c>
      <c r="AM621" s="11">
        <f t="shared" si="75"/>
        <v>3</v>
      </c>
      <c r="AN621" s="14">
        <f t="shared" si="76"/>
        <v>3</v>
      </c>
      <c r="AO621" s="15"/>
      <c r="AP621" s="15"/>
      <c r="AQ621" s="15"/>
    </row>
    <row r="622" spans="1:43" ht="51" hidden="1" x14ac:dyDescent="0.2">
      <c r="A622" s="7">
        <v>621</v>
      </c>
      <c r="B622" s="19" t="s">
        <v>1301</v>
      </c>
      <c r="C622" s="19" t="s">
        <v>1302</v>
      </c>
      <c r="D622" s="8" t="s">
        <v>34</v>
      </c>
      <c r="E622" s="19" t="s">
        <v>269</v>
      </c>
      <c r="F622" s="8" t="s">
        <v>36</v>
      </c>
      <c r="G622" s="7" t="s">
        <v>59</v>
      </c>
      <c r="H622" s="9" t="s">
        <v>44</v>
      </c>
      <c r="I622" s="10"/>
      <c r="J622" s="10" t="s">
        <v>40</v>
      </c>
      <c r="K622" s="10" t="s">
        <v>40</v>
      </c>
      <c r="L622" s="10" t="s">
        <v>40</v>
      </c>
      <c r="M622">
        <v>0</v>
      </c>
      <c r="N622">
        <v>0</v>
      </c>
      <c r="O622">
        <v>0</v>
      </c>
      <c r="P622" s="10" t="s">
        <v>44</v>
      </c>
      <c r="Q622" s="10">
        <f t="array" ref="Q622">IFERROR(SUMPRODUCT((N622:P622&gt;0)*(N622:P622))/3, 0)</f>
        <v>0</v>
      </c>
      <c r="R622" s="10"/>
      <c r="S622" s="11" t="str">
        <f t="shared" si="72"/>
        <v/>
      </c>
      <c r="T622" s="7"/>
      <c r="U622" s="7"/>
      <c r="V622" s="7"/>
      <c r="W622" s="7"/>
      <c r="X622" s="7"/>
      <c r="Y622" s="7"/>
      <c r="Z622" s="15"/>
      <c r="AA622" s="15"/>
      <c r="AB622" s="11" t="str">
        <f t="shared" si="73"/>
        <v/>
      </c>
      <c r="AC622" s="11"/>
      <c r="AD622" s="11"/>
      <c r="AE622" s="11"/>
      <c r="AF622" s="11"/>
      <c r="AG622" s="11"/>
      <c r="AH622" s="11"/>
      <c r="AI622" s="11"/>
      <c r="AJ622" s="15"/>
      <c r="AK622" s="15"/>
      <c r="AL622" s="14">
        <f t="shared" si="74"/>
        <v>3</v>
      </c>
      <c r="AM622" s="11">
        <f t="shared" si="75"/>
        <v>3</v>
      </c>
      <c r="AN622" s="14">
        <f t="shared" si="76"/>
        <v>3</v>
      </c>
      <c r="AO622" s="15"/>
      <c r="AP622" s="15"/>
      <c r="AQ622" s="15"/>
    </row>
    <row r="623" spans="1:43" ht="34" hidden="1" x14ac:dyDescent="0.2">
      <c r="A623" s="7">
        <v>622</v>
      </c>
      <c r="B623" s="19" t="s">
        <v>1303</v>
      </c>
      <c r="C623" s="19" t="s">
        <v>1304</v>
      </c>
      <c r="D623" s="8" t="s">
        <v>34</v>
      </c>
      <c r="E623" s="19" t="s">
        <v>269</v>
      </c>
      <c r="F623" s="8" t="s">
        <v>36</v>
      </c>
      <c r="G623" s="7" t="s">
        <v>59</v>
      </c>
      <c r="H623" s="9" t="s">
        <v>44</v>
      </c>
      <c r="I623" s="10"/>
      <c r="J623" s="10" t="s">
        <v>40</v>
      </c>
      <c r="K623" s="10" t="s">
        <v>40</v>
      </c>
      <c r="L623" s="10" t="s">
        <v>40</v>
      </c>
      <c r="M623">
        <v>0</v>
      </c>
      <c r="N623">
        <v>0</v>
      </c>
      <c r="O623">
        <v>0</v>
      </c>
      <c r="P623" s="10" t="s">
        <v>44</v>
      </c>
      <c r="Q623" s="10">
        <f t="array" ref="Q623">IFERROR(SUMPRODUCT((N623:P623&gt;0)*(N623:P623))/3, 0)</f>
        <v>0</v>
      </c>
      <c r="R623" s="10"/>
      <c r="S623" s="11" t="str">
        <f t="shared" si="72"/>
        <v/>
      </c>
      <c r="T623" s="7"/>
      <c r="U623" s="7"/>
      <c r="V623" s="7"/>
      <c r="W623" s="7"/>
      <c r="X623" s="7"/>
      <c r="Y623" s="7"/>
      <c r="Z623" s="15"/>
      <c r="AA623" s="15"/>
      <c r="AB623" s="11" t="str">
        <f t="shared" si="73"/>
        <v/>
      </c>
      <c r="AC623" s="11"/>
      <c r="AD623" s="11"/>
      <c r="AE623" s="11"/>
      <c r="AF623" s="11"/>
      <c r="AG623" s="11"/>
      <c r="AH623" s="11"/>
      <c r="AI623" s="11"/>
      <c r="AJ623" s="15"/>
      <c r="AK623" s="15"/>
      <c r="AL623" s="14">
        <f t="shared" si="74"/>
        <v>3</v>
      </c>
      <c r="AM623" s="11">
        <f t="shared" si="75"/>
        <v>3</v>
      </c>
      <c r="AN623" s="14">
        <f t="shared" si="76"/>
        <v>3</v>
      </c>
      <c r="AO623" s="15"/>
      <c r="AP623" s="15"/>
      <c r="AQ623" s="15"/>
    </row>
    <row r="624" spans="1:43" ht="34" hidden="1" x14ac:dyDescent="0.2">
      <c r="A624" s="7">
        <v>623</v>
      </c>
      <c r="B624" s="19" t="s">
        <v>1305</v>
      </c>
      <c r="C624" s="19" t="s">
        <v>1306</v>
      </c>
      <c r="D624" s="8" t="s">
        <v>34</v>
      </c>
      <c r="E624" s="19" t="s">
        <v>269</v>
      </c>
      <c r="F624" s="8" t="s">
        <v>36</v>
      </c>
      <c r="G624" s="7" t="s">
        <v>59</v>
      </c>
      <c r="H624" s="9" t="s">
        <v>44</v>
      </c>
      <c r="I624" s="10"/>
      <c r="J624" s="10" t="s">
        <v>40</v>
      </c>
      <c r="K624" s="10" t="s">
        <v>40</v>
      </c>
      <c r="L624" s="10" t="s">
        <v>40</v>
      </c>
      <c r="M624">
        <v>0</v>
      </c>
      <c r="N624">
        <v>0</v>
      </c>
      <c r="O624">
        <v>0</v>
      </c>
      <c r="P624" s="10" t="s">
        <v>44</v>
      </c>
      <c r="Q624" s="10">
        <f t="array" ref="Q624">IFERROR(SUMPRODUCT((N624:P624&gt;0)*(N624:P624))/3, 0)</f>
        <v>0</v>
      </c>
      <c r="R624" s="10"/>
      <c r="S624" s="11" t="str">
        <f t="shared" si="72"/>
        <v/>
      </c>
      <c r="T624" s="7"/>
      <c r="U624" s="7"/>
      <c r="V624" s="7"/>
      <c r="W624" s="7"/>
      <c r="X624" s="7"/>
      <c r="Y624" s="7"/>
      <c r="Z624" s="15"/>
      <c r="AA624" s="15"/>
      <c r="AB624" s="11" t="str">
        <f t="shared" si="73"/>
        <v/>
      </c>
      <c r="AC624" s="11"/>
      <c r="AD624" s="11"/>
      <c r="AE624" s="11"/>
      <c r="AF624" s="11"/>
      <c r="AG624" s="11"/>
      <c r="AH624" s="11"/>
      <c r="AI624" s="11"/>
      <c r="AJ624" s="15"/>
      <c r="AK624" s="15"/>
      <c r="AL624" s="14">
        <f t="shared" si="74"/>
        <v>3</v>
      </c>
      <c r="AM624" s="11">
        <f t="shared" si="75"/>
        <v>3</v>
      </c>
      <c r="AN624" s="14">
        <f t="shared" si="76"/>
        <v>3</v>
      </c>
      <c r="AO624" s="15"/>
      <c r="AP624" s="15"/>
      <c r="AQ624" s="15"/>
    </row>
    <row r="625" spans="1:43" ht="34" hidden="1" x14ac:dyDescent="0.2">
      <c r="A625" s="7">
        <v>624</v>
      </c>
      <c r="B625" s="19" t="s">
        <v>1307</v>
      </c>
      <c r="C625" s="19" t="s">
        <v>1308</v>
      </c>
      <c r="D625" s="8" t="s">
        <v>34</v>
      </c>
      <c r="E625" s="19" t="s">
        <v>269</v>
      </c>
      <c r="F625" s="8" t="s">
        <v>36</v>
      </c>
      <c r="G625" s="7" t="s">
        <v>59</v>
      </c>
      <c r="H625" s="9" t="s">
        <v>44</v>
      </c>
      <c r="I625" s="10"/>
      <c r="J625" s="10" t="s">
        <v>40</v>
      </c>
      <c r="K625" s="10" t="s">
        <v>40</v>
      </c>
      <c r="L625" s="10" t="s">
        <v>40</v>
      </c>
      <c r="M625">
        <v>0</v>
      </c>
      <c r="N625">
        <v>0</v>
      </c>
      <c r="O625">
        <v>0</v>
      </c>
      <c r="P625" s="10" t="s">
        <v>44</v>
      </c>
      <c r="Q625" s="10">
        <f t="array" ref="Q625">IFERROR(SUMPRODUCT((N625:P625&gt;0)*(N625:P625))/3, 0)</f>
        <v>0</v>
      </c>
      <c r="R625" s="10"/>
      <c r="S625" s="11" t="str">
        <f t="shared" si="72"/>
        <v/>
      </c>
      <c r="T625" s="7"/>
      <c r="U625" s="7"/>
      <c r="V625" s="7"/>
      <c r="W625" s="7"/>
      <c r="X625" s="7"/>
      <c r="Y625" s="7"/>
      <c r="Z625" s="15"/>
      <c r="AA625" s="15"/>
      <c r="AB625" s="11" t="str">
        <f t="shared" si="73"/>
        <v/>
      </c>
      <c r="AC625" s="11"/>
      <c r="AD625" s="11"/>
      <c r="AE625" s="11"/>
      <c r="AF625" s="11"/>
      <c r="AG625" s="11"/>
      <c r="AH625" s="11"/>
      <c r="AI625" s="11"/>
      <c r="AJ625" s="15"/>
      <c r="AK625" s="15"/>
      <c r="AL625" s="14">
        <f t="shared" si="74"/>
        <v>3</v>
      </c>
      <c r="AM625" s="11">
        <f t="shared" si="75"/>
        <v>3</v>
      </c>
      <c r="AN625" s="14">
        <f t="shared" si="76"/>
        <v>3</v>
      </c>
      <c r="AO625" s="15"/>
      <c r="AP625" s="15"/>
      <c r="AQ625" s="15"/>
    </row>
    <row r="626" spans="1:43" ht="51" hidden="1" x14ac:dyDescent="0.2">
      <c r="A626" s="7">
        <v>625</v>
      </c>
      <c r="B626" s="19" t="s">
        <v>1309</v>
      </c>
      <c r="C626" s="19" t="s">
        <v>1310</v>
      </c>
      <c r="D626" s="8" t="s">
        <v>34</v>
      </c>
      <c r="E626" s="19" t="s">
        <v>269</v>
      </c>
      <c r="F626" s="8" t="s">
        <v>36</v>
      </c>
      <c r="G626" s="7" t="s">
        <v>59</v>
      </c>
      <c r="H626" s="9" t="s">
        <v>44</v>
      </c>
      <c r="I626" s="10"/>
      <c r="J626" s="10" t="s">
        <v>40</v>
      </c>
      <c r="K626" s="10" t="s">
        <v>40</v>
      </c>
      <c r="L626" s="10" t="s">
        <v>40</v>
      </c>
      <c r="M626">
        <v>0</v>
      </c>
      <c r="N626">
        <v>0</v>
      </c>
      <c r="O626">
        <v>0</v>
      </c>
      <c r="P626" s="10" t="s">
        <v>44</v>
      </c>
      <c r="Q626" s="10">
        <f t="array" ref="Q626">IFERROR(SUMPRODUCT((N626:P626&gt;0)*(N626:P626))/3, 0)</f>
        <v>0</v>
      </c>
      <c r="R626" s="10"/>
      <c r="S626" s="11" t="str">
        <f t="shared" si="72"/>
        <v/>
      </c>
      <c r="T626" s="7"/>
      <c r="U626" s="7"/>
      <c r="V626" s="7"/>
      <c r="W626" s="7"/>
      <c r="X626" s="7"/>
      <c r="Y626" s="7"/>
      <c r="Z626" s="15"/>
      <c r="AA626" s="15"/>
      <c r="AB626" s="11" t="str">
        <f t="shared" si="73"/>
        <v/>
      </c>
      <c r="AC626" s="11"/>
      <c r="AD626" s="11"/>
      <c r="AE626" s="11"/>
      <c r="AF626" s="11"/>
      <c r="AG626" s="11"/>
      <c r="AH626" s="11"/>
      <c r="AI626" s="11"/>
      <c r="AJ626" s="15"/>
      <c r="AK626" s="15"/>
      <c r="AL626" s="14">
        <f t="shared" si="74"/>
        <v>3</v>
      </c>
      <c r="AM626" s="11">
        <f t="shared" si="75"/>
        <v>3</v>
      </c>
      <c r="AN626" s="14">
        <f t="shared" si="76"/>
        <v>3</v>
      </c>
      <c r="AO626" s="15"/>
      <c r="AP626" s="15"/>
      <c r="AQ626" s="15"/>
    </row>
    <row r="627" spans="1:43" ht="34" hidden="1" x14ac:dyDescent="0.2">
      <c r="A627" s="7">
        <v>626</v>
      </c>
      <c r="B627" s="19" t="s">
        <v>1311</v>
      </c>
      <c r="C627" s="19" t="s">
        <v>1312</v>
      </c>
      <c r="D627" s="8" t="s">
        <v>34</v>
      </c>
      <c r="E627" s="19" t="s">
        <v>269</v>
      </c>
      <c r="F627" s="8" t="s">
        <v>36</v>
      </c>
      <c r="G627" s="7" t="s">
        <v>59</v>
      </c>
      <c r="H627" s="9" t="s">
        <v>44</v>
      </c>
      <c r="I627" s="10"/>
      <c r="J627" s="10" t="s">
        <v>40</v>
      </c>
      <c r="K627" s="10" t="s">
        <v>40</v>
      </c>
      <c r="L627" s="10" t="s">
        <v>40</v>
      </c>
      <c r="M627">
        <v>0</v>
      </c>
      <c r="N627">
        <v>0</v>
      </c>
      <c r="O627">
        <v>0</v>
      </c>
      <c r="P627" s="10" t="s">
        <v>44</v>
      </c>
      <c r="Q627" s="10">
        <f t="array" ref="Q627">IFERROR(SUMPRODUCT((N627:P627&gt;0)*(N627:P627))/3, 0)</f>
        <v>0</v>
      </c>
      <c r="R627" s="10"/>
      <c r="S627" s="11" t="str">
        <f t="shared" si="72"/>
        <v/>
      </c>
      <c r="T627" s="7"/>
      <c r="U627" s="7"/>
      <c r="V627" s="7"/>
      <c r="W627" s="7"/>
      <c r="X627" s="7"/>
      <c r="Y627" s="7"/>
      <c r="Z627" s="15"/>
      <c r="AA627" s="15"/>
      <c r="AB627" s="11" t="str">
        <f t="shared" si="73"/>
        <v/>
      </c>
      <c r="AC627" s="11"/>
      <c r="AD627" s="11"/>
      <c r="AE627" s="11"/>
      <c r="AF627" s="11"/>
      <c r="AG627" s="11"/>
      <c r="AH627" s="11"/>
      <c r="AI627" s="11"/>
      <c r="AJ627" s="15"/>
      <c r="AK627" s="15"/>
      <c r="AL627" s="14">
        <f t="shared" si="74"/>
        <v>3</v>
      </c>
      <c r="AM627" s="11">
        <f t="shared" si="75"/>
        <v>3</v>
      </c>
      <c r="AN627" s="14">
        <f t="shared" si="76"/>
        <v>3</v>
      </c>
      <c r="AO627" s="15"/>
      <c r="AP627" s="15"/>
      <c r="AQ627" s="15"/>
    </row>
    <row r="628" spans="1:43" ht="34" hidden="1" x14ac:dyDescent="0.2">
      <c r="A628" s="7">
        <v>627</v>
      </c>
      <c r="B628" s="19" t="s">
        <v>1313</v>
      </c>
      <c r="C628" s="19" t="s">
        <v>1314</v>
      </c>
      <c r="D628" s="8" t="s">
        <v>34</v>
      </c>
      <c r="E628" s="19" t="s">
        <v>269</v>
      </c>
      <c r="F628" s="8" t="s">
        <v>36</v>
      </c>
      <c r="G628" s="7" t="s">
        <v>59</v>
      </c>
      <c r="H628" s="9" t="s">
        <v>44</v>
      </c>
      <c r="I628" s="10"/>
      <c r="J628" s="10" t="s">
        <v>40</v>
      </c>
      <c r="K628" s="10" t="s">
        <v>40</v>
      </c>
      <c r="L628" s="10" t="s">
        <v>40</v>
      </c>
      <c r="M628">
        <v>0</v>
      </c>
      <c r="N628">
        <v>0</v>
      </c>
      <c r="O628">
        <v>0</v>
      </c>
      <c r="P628" s="10" t="s">
        <v>44</v>
      </c>
      <c r="Q628" s="10">
        <f t="array" ref="Q628">IFERROR(SUMPRODUCT((N628:P628&gt;0)*(N628:P628))/3, 0)</f>
        <v>0</v>
      </c>
      <c r="R628" s="10"/>
      <c r="S628" s="11" t="str">
        <f t="shared" si="72"/>
        <v/>
      </c>
      <c r="T628" s="7"/>
      <c r="U628" s="7"/>
      <c r="V628" s="7"/>
      <c r="W628" s="7"/>
      <c r="X628" s="7"/>
      <c r="Y628" s="7"/>
      <c r="Z628" s="15"/>
      <c r="AA628" s="15"/>
      <c r="AB628" s="11" t="str">
        <f t="shared" si="73"/>
        <v/>
      </c>
      <c r="AC628" s="11"/>
      <c r="AD628" s="11"/>
      <c r="AE628" s="11"/>
      <c r="AF628" s="11"/>
      <c r="AG628" s="11"/>
      <c r="AH628" s="11"/>
      <c r="AI628" s="11"/>
      <c r="AJ628" s="15"/>
      <c r="AK628" s="15"/>
      <c r="AL628" s="14">
        <f t="shared" si="74"/>
        <v>3</v>
      </c>
      <c r="AM628" s="11">
        <f t="shared" si="75"/>
        <v>3</v>
      </c>
      <c r="AN628" s="14">
        <f t="shared" si="76"/>
        <v>3</v>
      </c>
      <c r="AO628" s="15"/>
      <c r="AP628" s="15"/>
      <c r="AQ628" s="15"/>
    </row>
    <row r="629" spans="1:43" ht="51" hidden="1" x14ac:dyDescent="0.2">
      <c r="A629" s="7">
        <v>628</v>
      </c>
      <c r="B629" s="19" t="s">
        <v>1315</v>
      </c>
      <c r="C629" s="19" t="s">
        <v>1316</v>
      </c>
      <c r="D629" s="8" t="s">
        <v>34</v>
      </c>
      <c r="E629" s="19" t="s">
        <v>269</v>
      </c>
      <c r="F629" s="8" t="s">
        <v>36</v>
      </c>
      <c r="G629" s="7" t="s">
        <v>59</v>
      </c>
      <c r="H629" s="9" t="s">
        <v>44</v>
      </c>
      <c r="I629" s="10"/>
      <c r="J629" s="10" t="s">
        <v>40</v>
      </c>
      <c r="K629" s="10" t="s">
        <v>40</v>
      </c>
      <c r="L629" s="10" t="s">
        <v>40</v>
      </c>
      <c r="M629">
        <v>0</v>
      </c>
      <c r="N629">
        <v>0</v>
      </c>
      <c r="O629">
        <v>0</v>
      </c>
      <c r="P629" s="10" t="s">
        <v>44</v>
      </c>
      <c r="Q629" s="10">
        <f t="array" ref="Q629">IFERROR(SUMPRODUCT((N629:P629&gt;0)*(N629:P629))/3, 0)</f>
        <v>0</v>
      </c>
      <c r="R629" s="10"/>
      <c r="S629" s="11" t="str">
        <f t="shared" si="72"/>
        <v/>
      </c>
      <c r="T629" s="7"/>
      <c r="U629" s="7"/>
      <c r="V629" s="7"/>
      <c r="W629" s="7"/>
      <c r="X629" s="7"/>
      <c r="Y629" s="7"/>
      <c r="Z629" s="15"/>
      <c r="AA629" s="15"/>
      <c r="AB629" s="11" t="str">
        <f t="shared" si="73"/>
        <v/>
      </c>
      <c r="AC629" s="11"/>
      <c r="AD629" s="11"/>
      <c r="AE629" s="11"/>
      <c r="AF629" s="11"/>
      <c r="AG629" s="11"/>
      <c r="AH629" s="11"/>
      <c r="AI629" s="11"/>
      <c r="AJ629" s="15"/>
      <c r="AK629" s="15"/>
      <c r="AL629" s="14">
        <f t="shared" si="74"/>
        <v>3</v>
      </c>
      <c r="AM629" s="11">
        <f t="shared" si="75"/>
        <v>3</v>
      </c>
      <c r="AN629" s="14">
        <f t="shared" si="76"/>
        <v>3</v>
      </c>
      <c r="AO629" s="15"/>
      <c r="AP629" s="15"/>
      <c r="AQ629" s="15"/>
    </row>
    <row r="630" spans="1:43" ht="34" hidden="1" x14ac:dyDescent="0.2">
      <c r="A630" s="7">
        <v>629</v>
      </c>
      <c r="B630" s="19" t="s">
        <v>1317</v>
      </c>
      <c r="C630" s="19" t="s">
        <v>1318</v>
      </c>
      <c r="D630" s="8" t="s">
        <v>34</v>
      </c>
      <c r="E630" s="19" t="s">
        <v>269</v>
      </c>
      <c r="F630" s="8" t="s">
        <v>36</v>
      </c>
      <c r="G630" s="7" t="s">
        <v>59</v>
      </c>
      <c r="H630" s="9" t="s">
        <v>44</v>
      </c>
      <c r="I630" s="10"/>
      <c r="J630" s="10" t="s">
        <v>40</v>
      </c>
      <c r="K630" s="10" t="s">
        <v>40</v>
      </c>
      <c r="L630" s="10" t="s">
        <v>40</v>
      </c>
      <c r="M630">
        <v>0</v>
      </c>
      <c r="N630">
        <v>0</v>
      </c>
      <c r="O630">
        <v>0</v>
      </c>
      <c r="P630" s="10" t="s">
        <v>44</v>
      </c>
      <c r="Q630" s="10">
        <f t="array" ref="Q630">IFERROR(SUMPRODUCT((N630:P630&gt;0)*(N630:P630))/3, 0)</f>
        <v>0</v>
      </c>
      <c r="R630" s="10"/>
      <c r="S630" s="11" t="str">
        <f t="shared" si="72"/>
        <v/>
      </c>
      <c r="T630" s="7"/>
      <c r="U630" s="7"/>
      <c r="V630" s="7"/>
      <c r="W630" s="7"/>
      <c r="X630" s="7"/>
      <c r="Y630" s="7"/>
      <c r="Z630" s="15"/>
      <c r="AA630" s="15"/>
      <c r="AB630" s="11" t="str">
        <f t="shared" si="73"/>
        <v/>
      </c>
      <c r="AC630" s="11"/>
      <c r="AD630" s="11"/>
      <c r="AE630" s="11"/>
      <c r="AF630" s="11"/>
      <c r="AG630" s="11"/>
      <c r="AH630" s="11"/>
      <c r="AI630" s="11"/>
      <c r="AJ630" s="15"/>
      <c r="AK630" s="15"/>
      <c r="AL630" s="14">
        <f t="shared" si="74"/>
        <v>3</v>
      </c>
      <c r="AM630" s="11">
        <f t="shared" si="75"/>
        <v>3</v>
      </c>
      <c r="AN630" s="14">
        <f t="shared" si="76"/>
        <v>3</v>
      </c>
      <c r="AO630" s="15"/>
      <c r="AP630" s="15"/>
      <c r="AQ630" s="15"/>
    </row>
    <row r="631" spans="1:43" ht="34" hidden="1" x14ac:dyDescent="0.2">
      <c r="A631" s="7">
        <v>630</v>
      </c>
      <c r="B631" s="19" t="s">
        <v>1319</v>
      </c>
      <c r="C631" s="19" t="s">
        <v>1320</v>
      </c>
      <c r="D631" s="8" t="s">
        <v>34</v>
      </c>
      <c r="E631" s="19" t="s">
        <v>269</v>
      </c>
      <c r="F631" s="8" t="s">
        <v>36</v>
      </c>
      <c r="G631" s="7" t="s">
        <v>59</v>
      </c>
      <c r="H631" s="9" t="s">
        <v>44</v>
      </c>
      <c r="I631" s="10"/>
      <c r="J631" s="10" t="s">
        <v>40</v>
      </c>
      <c r="K631" s="10" t="s">
        <v>40</v>
      </c>
      <c r="L631" s="10" t="s">
        <v>40</v>
      </c>
      <c r="M631">
        <v>0</v>
      </c>
      <c r="N631">
        <v>0</v>
      </c>
      <c r="O631">
        <v>0</v>
      </c>
      <c r="P631" s="10" t="s">
        <v>44</v>
      </c>
      <c r="Q631" s="10">
        <f t="array" ref="Q631">IFERROR(SUMPRODUCT((N631:P631&gt;0)*(N631:P631))/3, 0)</f>
        <v>0</v>
      </c>
      <c r="R631" s="10"/>
      <c r="S631" s="11" t="str">
        <f t="shared" si="72"/>
        <v/>
      </c>
      <c r="T631" s="7"/>
      <c r="U631" s="7"/>
      <c r="V631" s="7"/>
      <c r="W631" s="7"/>
      <c r="X631" s="7"/>
      <c r="Y631" s="7"/>
      <c r="Z631" s="15"/>
      <c r="AA631" s="15"/>
      <c r="AB631" s="11" t="str">
        <f t="shared" si="73"/>
        <v/>
      </c>
      <c r="AC631" s="11"/>
      <c r="AD631" s="11"/>
      <c r="AE631" s="11"/>
      <c r="AF631" s="11"/>
      <c r="AG631" s="11"/>
      <c r="AH631" s="11"/>
      <c r="AI631" s="11"/>
      <c r="AJ631" s="15"/>
      <c r="AK631" s="15"/>
      <c r="AL631" s="14">
        <f t="shared" si="74"/>
        <v>3</v>
      </c>
      <c r="AM631" s="11">
        <f t="shared" si="75"/>
        <v>3</v>
      </c>
      <c r="AN631" s="14">
        <f t="shared" si="76"/>
        <v>3</v>
      </c>
      <c r="AO631" s="15"/>
      <c r="AP631" s="15"/>
      <c r="AQ631" s="15"/>
    </row>
    <row r="632" spans="1:43" ht="34" hidden="1" x14ac:dyDescent="0.2">
      <c r="A632" s="7">
        <v>631</v>
      </c>
      <c r="B632" s="19" t="s">
        <v>1321</v>
      </c>
      <c r="C632" s="19" t="s">
        <v>1322</v>
      </c>
      <c r="D632" s="8" t="s">
        <v>34</v>
      </c>
      <c r="E632" s="19" t="s">
        <v>269</v>
      </c>
      <c r="F632" s="8" t="s">
        <v>36</v>
      </c>
      <c r="G632" s="7" t="s">
        <v>59</v>
      </c>
      <c r="H632" s="9" t="s">
        <v>44</v>
      </c>
      <c r="I632" s="10"/>
      <c r="J632" s="10" t="s">
        <v>40</v>
      </c>
      <c r="K632" s="10" t="s">
        <v>40</v>
      </c>
      <c r="L632" s="10" t="s">
        <v>40</v>
      </c>
      <c r="M632">
        <v>0</v>
      </c>
      <c r="N632">
        <v>0</v>
      </c>
      <c r="O632">
        <v>0</v>
      </c>
      <c r="P632" s="10" t="s">
        <v>44</v>
      </c>
      <c r="Q632" s="10">
        <f t="array" ref="Q632">IFERROR(SUMPRODUCT((N632:P632&gt;0)*(N632:P632))/3, 0)</f>
        <v>0</v>
      </c>
      <c r="R632" s="10"/>
      <c r="S632" s="11" t="str">
        <f t="shared" si="72"/>
        <v/>
      </c>
      <c r="T632" s="7"/>
      <c r="U632" s="7"/>
      <c r="V632" s="7"/>
      <c r="W632" s="7"/>
      <c r="X632" s="7"/>
      <c r="Y632" s="7"/>
      <c r="Z632" s="15"/>
      <c r="AA632" s="15"/>
      <c r="AB632" s="11" t="str">
        <f t="shared" si="73"/>
        <v/>
      </c>
      <c r="AC632" s="11"/>
      <c r="AD632" s="11"/>
      <c r="AE632" s="11"/>
      <c r="AF632" s="11"/>
      <c r="AG632" s="11"/>
      <c r="AH632" s="11"/>
      <c r="AI632" s="11"/>
      <c r="AJ632" s="15"/>
      <c r="AK632" s="15"/>
      <c r="AL632" s="14">
        <f t="shared" si="74"/>
        <v>3</v>
      </c>
      <c r="AM632" s="11">
        <f t="shared" si="75"/>
        <v>3</v>
      </c>
      <c r="AN632" s="14">
        <f t="shared" si="76"/>
        <v>3</v>
      </c>
      <c r="AO632" s="15"/>
      <c r="AP632" s="15"/>
      <c r="AQ632" s="15"/>
    </row>
    <row r="633" spans="1:43" ht="51" hidden="1" x14ac:dyDescent="0.2">
      <c r="A633" s="7">
        <v>632</v>
      </c>
      <c r="B633" s="19" t="s">
        <v>1323</v>
      </c>
      <c r="C633" s="19" t="s">
        <v>1324</v>
      </c>
      <c r="D633" s="8" t="s">
        <v>34</v>
      </c>
      <c r="E633" s="19" t="s">
        <v>269</v>
      </c>
      <c r="F633" s="8" t="s">
        <v>36</v>
      </c>
      <c r="G633" s="7" t="s">
        <v>59</v>
      </c>
      <c r="H633" s="9" t="s">
        <v>44</v>
      </c>
      <c r="I633" s="10"/>
      <c r="J633" s="10" t="s">
        <v>40</v>
      </c>
      <c r="K633" s="10" t="s">
        <v>40</v>
      </c>
      <c r="L633" s="10" t="s">
        <v>40</v>
      </c>
      <c r="M633">
        <v>0</v>
      </c>
      <c r="N633">
        <v>0</v>
      </c>
      <c r="O633">
        <v>0</v>
      </c>
      <c r="P633" s="10" t="s">
        <v>44</v>
      </c>
      <c r="Q633" s="10">
        <f t="array" ref="Q633">IFERROR(SUMPRODUCT((N633:P633&gt;0)*(N633:P633))/3, 0)</f>
        <v>0</v>
      </c>
      <c r="R633" s="10"/>
      <c r="S633" s="11" t="str">
        <f t="shared" si="72"/>
        <v/>
      </c>
      <c r="T633" s="7"/>
      <c r="U633" s="7"/>
      <c r="V633" s="7"/>
      <c r="W633" s="7"/>
      <c r="X633" s="7"/>
      <c r="Y633" s="7"/>
      <c r="Z633" s="15"/>
      <c r="AA633" s="15"/>
      <c r="AB633" s="11" t="str">
        <f t="shared" si="73"/>
        <v/>
      </c>
      <c r="AC633" s="11"/>
      <c r="AD633" s="11"/>
      <c r="AE633" s="11"/>
      <c r="AF633" s="11"/>
      <c r="AG633" s="11"/>
      <c r="AH633" s="11"/>
      <c r="AI633" s="11"/>
      <c r="AJ633" s="15"/>
      <c r="AK633" s="15"/>
      <c r="AL633" s="14">
        <f t="shared" si="74"/>
        <v>3</v>
      </c>
      <c r="AM633" s="11">
        <f t="shared" si="75"/>
        <v>3</v>
      </c>
      <c r="AN633" s="14">
        <f t="shared" si="76"/>
        <v>3</v>
      </c>
      <c r="AO633" s="15"/>
      <c r="AP633" s="15"/>
      <c r="AQ633" s="15"/>
    </row>
    <row r="634" spans="1:43" ht="51" hidden="1" x14ac:dyDescent="0.2">
      <c r="A634" s="7">
        <v>633</v>
      </c>
      <c r="B634" s="19" t="s">
        <v>1325</v>
      </c>
      <c r="C634" s="19" t="s">
        <v>1326</v>
      </c>
      <c r="D634" s="8" t="s">
        <v>34</v>
      </c>
      <c r="E634" s="19" t="s">
        <v>269</v>
      </c>
      <c r="F634" s="8" t="s">
        <v>36</v>
      </c>
      <c r="G634" s="7" t="s">
        <v>59</v>
      </c>
      <c r="H634" s="9" t="s">
        <v>44</v>
      </c>
      <c r="I634" s="10"/>
      <c r="J634" s="10" t="s">
        <v>40</v>
      </c>
      <c r="K634" s="10" t="s">
        <v>40</v>
      </c>
      <c r="L634" s="10" t="s">
        <v>40</v>
      </c>
      <c r="M634">
        <v>0</v>
      </c>
      <c r="N634">
        <v>0</v>
      </c>
      <c r="O634">
        <v>0</v>
      </c>
      <c r="P634" s="10" t="s">
        <v>44</v>
      </c>
      <c r="Q634" s="10">
        <f t="array" ref="Q634">IFERROR(SUMPRODUCT((N634:P634&gt;0)*(N634:P634))/3, 0)</f>
        <v>0</v>
      </c>
      <c r="R634" s="10"/>
      <c r="S634" s="11" t="str">
        <f t="shared" si="72"/>
        <v/>
      </c>
      <c r="T634" s="7"/>
      <c r="U634" s="7"/>
      <c r="V634" s="7"/>
      <c r="W634" s="7"/>
      <c r="X634" s="7"/>
      <c r="Y634" s="7"/>
      <c r="Z634" s="15"/>
      <c r="AA634" s="15"/>
      <c r="AB634" s="11" t="str">
        <f t="shared" si="73"/>
        <v/>
      </c>
      <c r="AC634" s="11"/>
      <c r="AD634" s="11"/>
      <c r="AE634" s="11"/>
      <c r="AF634" s="11"/>
      <c r="AG634" s="11"/>
      <c r="AH634" s="11"/>
      <c r="AI634" s="11"/>
      <c r="AJ634" s="15"/>
      <c r="AK634" s="15"/>
      <c r="AL634" s="14">
        <f t="shared" si="74"/>
        <v>3</v>
      </c>
      <c r="AM634" s="11">
        <f t="shared" si="75"/>
        <v>3</v>
      </c>
      <c r="AN634" s="14">
        <f t="shared" si="76"/>
        <v>3</v>
      </c>
      <c r="AO634" s="15"/>
      <c r="AP634" s="15"/>
      <c r="AQ634" s="15"/>
    </row>
    <row r="635" spans="1:43" ht="51" hidden="1" x14ac:dyDescent="0.2">
      <c r="A635" s="7">
        <v>634</v>
      </c>
      <c r="B635" s="19" t="s">
        <v>1327</v>
      </c>
      <c r="C635" s="19" t="s">
        <v>1328</v>
      </c>
      <c r="D635" s="8" t="s">
        <v>34</v>
      </c>
      <c r="E635" s="19" t="s">
        <v>269</v>
      </c>
      <c r="F635" s="8" t="s">
        <v>36</v>
      </c>
      <c r="G635" s="7" t="s">
        <v>59</v>
      </c>
      <c r="H635" s="9" t="s">
        <v>44</v>
      </c>
      <c r="I635" s="10"/>
      <c r="J635" s="10" t="s">
        <v>40</v>
      </c>
      <c r="K635" s="10" t="s">
        <v>40</v>
      </c>
      <c r="L635" s="10" t="s">
        <v>40</v>
      </c>
      <c r="M635">
        <v>0</v>
      </c>
      <c r="N635">
        <v>0</v>
      </c>
      <c r="O635">
        <v>0</v>
      </c>
      <c r="P635" s="10" t="s">
        <v>44</v>
      </c>
      <c r="Q635" s="10">
        <f t="array" ref="Q635">IFERROR(SUMPRODUCT((N635:P635&gt;0)*(N635:P635))/3, 0)</f>
        <v>0</v>
      </c>
      <c r="R635" s="10"/>
      <c r="S635" s="11" t="str">
        <f t="shared" si="72"/>
        <v/>
      </c>
      <c r="T635" s="7"/>
      <c r="U635" s="7"/>
      <c r="V635" s="7"/>
      <c r="W635" s="7"/>
      <c r="X635" s="7"/>
      <c r="Y635" s="7"/>
      <c r="Z635" s="15"/>
      <c r="AA635" s="15"/>
      <c r="AB635" s="11" t="str">
        <f t="shared" si="73"/>
        <v/>
      </c>
      <c r="AC635" s="11"/>
      <c r="AD635" s="11"/>
      <c r="AE635" s="11"/>
      <c r="AF635" s="11"/>
      <c r="AG635" s="11"/>
      <c r="AH635" s="11"/>
      <c r="AI635" s="11"/>
      <c r="AJ635" s="15"/>
      <c r="AK635" s="15"/>
      <c r="AL635" s="14">
        <f t="shared" si="74"/>
        <v>3</v>
      </c>
      <c r="AM635" s="11">
        <f t="shared" si="75"/>
        <v>3</v>
      </c>
      <c r="AN635" s="14">
        <f t="shared" si="76"/>
        <v>3</v>
      </c>
      <c r="AO635" s="15"/>
      <c r="AP635" s="15"/>
      <c r="AQ635" s="15"/>
    </row>
    <row r="641" spans="2:3" ht="21" x14ac:dyDescent="0.2">
      <c r="B641" s="44" t="s">
        <v>1351</v>
      </c>
      <c r="C641" s="45"/>
    </row>
    <row r="642" spans="2:3" ht="21" x14ac:dyDescent="0.2">
      <c r="B642" s="44" t="s">
        <v>1352</v>
      </c>
      <c r="C642" s="45" t="e">
        <f>COUNTIFS($A$2:$A$105,"&gt;0",#REF!,B642)</f>
        <v>#REF!</v>
      </c>
    </row>
    <row r="643" spans="2:3" ht="21" x14ac:dyDescent="0.2">
      <c r="B643" s="44" t="s">
        <v>1353</v>
      </c>
      <c r="C643" s="45" t="e">
        <f>COUNTIFS($A$2:$A$105,"&gt;0",#REF!,B643)</f>
        <v>#REF!</v>
      </c>
    </row>
    <row r="644" spans="2:3" ht="21" x14ac:dyDescent="0.2">
      <c r="B644" s="44" t="s">
        <v>1354</v>
      </c>
      <c r="C644" s="45" t="e">
        <f>COUNTIFS($A$2:$A$105,"&gt;0",#REF!,B644)</f>
        <v>#REF!</v>
      </c>
    </row>
    <row r="645" spans="2:3" ht="21" x14ac:dyDescent="0.2">
      <c r="B645" s="44" t="s">
        <v>1355</v>
      </c>
      <c r="C645" s="45" t="e">
        <f>SUM(C642:C644)</f>
        <v>#REF!</v>
      </c>
    </row>
  </sheetData>
  <autoFilter ref="A1:AQ635" xr:uid="{00000000-0009-0000-0000-000000000000}">
    <filterColumn colId="4">
      <filters>
        <filter val="Apex Auditable Entity"/>
        <filter val="Audit Unit"/>
      </filters>
    </filterColumn>
  </autoFilter>
  <conditionalFormatting sqref="A1">
    <cfRule type="duplicateValues" dxfId="441" priority="439"/>
    <cfRule type="duplicateValues" dxfId="440" priority="440"/>
  </conditionalFormatting>
  <conditionalFormatting sqref="B1">
    <cfRule type="duplicateValues" dxfId="439" priority="436"/>
    <cfRule type="duplicateValues" dxfId="438" priority="437"/>
  </conditionalFormatting>
  <conditionalFormatting sqref="B2">
    <cfRule type="duplicateValues" dxfId="437" priority="184"/>
  </conditionalFormatting>
  <conditionalFormatting sqref="B2:B50">
    <cfRule type="duplicateValues" dxfId="436" priority="182"/>
    <cfRule type="duplicateValues" dxfId="435" priority="183"/>
  </conditionalFormatting>
  <conditionalFormatting sqref="B3">
    <cfRule type="duplicateValues" dxfId="434" priority="407"/>
    <cfRule type="duplicateValues" dxfId="433" priority="408"/>
    <cfRule type="duplicateValues" dxfId="432" priority="409"/>
    <cfRule type="duplicateValues" dxfId="431" priority="410"/>
    <cfRule type="duplicateValues" dxfId="430" priority="411"/>
  </conditionalFormatting>
  <conditionalFormatting sqref="B4">
    <cfRule type="duplicateValues" dxfId="429" priority="302"/>
    <cfRule type="duplicateValues" dxfId="428" priority="303"/>
    <cfRule type="duplicateValues" dxfId="427" priority="304"/>
    <cfRule type="duplicateValues" dxfId="426" priority="305"/>
    <cfRule type="duplicateValues" dxfId="425" priority="306"/>
  </conditionalFormatting>
  <conditionalFormatting sqref="B5">
    <cfRule type="duplicateValues" dxfId="424" priority="297"/>
    <cfRule type="duplicateValues" dxfId="423" priority="298"/>
    <cfRule type="duplicateValues" dxfId="422" priority="299"/>
    <cfRule type="duplicateValues" dxfId="421" priority="300"/>
    <cfRule type="duplicateValues" dxfId="420" priority="301"/>
  </conditionalFormatting>
  <conditionalFormatting sqref="B6">
    <cfRule type="duplicateValues" dxfId="419" priority="292"/>
    <cfRule type="duplicateValues" dxfId="418" priority="293"/>
    <cfRule type="duplicateValues" dxfId="417" priority="294"/>
    <cfRule type="duplicateValues" dxfId="416" priority="295"/>
    <cfRule type="duplicateValues" dxfId="415" priority="296"/>
  </conditionalFormatting>
  <conditionalFormatting sqref="B7">
    <cfRule type="duplicateValues" dxfId="414" priority="287"/>
    <cfRule type="duplicateValues" dxfId="413" priority="288"/>
    <cfRule type="duplicateValues" dxfId="412" priority="289"/>
    <cfRule type="duplicateValues" dxfId="411" priority="290"/>
    <cfRule type="duplicateValues" dxfId="410" priority="291"/>
  </conditionalFormatting>
  <conditionalFormatting sqref="B8">
    <cfRule type="duplicateValues" dxfId="409" priority="387"/>
    <cfRule type="duplicateValues" dxfId="408" priority="388"/>
    <cfRule type="duplicateValues" dxfId="407" priority="389"/>
    <cfRule type="duplicateValues" dxfId="406" priority="390"/>
    <cfRule type="duplicateValues" dxfId="405" priority="391"/>
  </conditionalFormatting>
  <conditionalFormatting sqref="B9">
    <cfRule type="duplicateValues" dxfId="404" priority="282"/>
    <cfRule type="duplicateValues" dxfId="403" priority="283"/>
    <cfRule type="duplicateValues" dxfId="402" priority="284"/>
    <cfRule type="duplicateValues" dxfId="401" priority="285"/>
    <cfRule type="duplicateValues" dxfId="400" priority="286"/>
  </conditionalFormatting>
  <conditionalFormatting sqref="B10">
    <cfRule type="duplicateValues" dxfId="399" priority="277"/>
    <cfRule type="duplicateValues" dxfId="398" priority="278"/>
    <cfRule type="duplicateValues" dxfId="397" priority="279"/>
    <cfRule type="duplicateValues" dxfId="396" priority="280"/>
    <cfRule type="duplicateValues" dxfId="395" priority="281"/>
  </conditionalFormatting>
  <conditionalFormatting sqref="B11">
    <cfRule type="duplicateValues" dxfId="394" priority="186"/>
    <cfRule type="duplicateValues" dxfId="393" priority="187"/>
    <cfRule type="duplicateValues" dxfId="392" priority="188"/>
    <cfRule type="duplicateValues" dxfId="391" priority="189"/>
    <cfRule type="duplicateValues" dxfId="390" priority="190"/>
  </conditionalFormatting>
  <conditionalFormatting sqref="B12">
    <cfRule type="duplicateValues" dxfId="389" priority="272"/>
    <cfRule type="duplicateValues" dxfId="388" priority="273"/>
    <cfRule type="duplicateValues" dxfId="387" priority="274"/>
    <cfRule type="duplicateValues" dxfId="386" priority="275"/>
    <cfRule type="duplicateValues" dxfId="385" priority="276"/>
  </conditionalFormatting>
  <conditionalFormatting sqref="B13">
    <cfRule type="duplicateValues" dxfId="384" priority="397"/>
    <cfRule type="duplicateValues" dxfId="383" priority="398"/>
    <cfRule type="duplicateValues" dxfId="382" priority="399"/>
    <cfRule type="duplicateValues" dxfId="381" priority="400"/>
    <cfRule type="duplicateValues" dxfId="380" priority="401"/>
  </conditionalFormatting>
  <conditionalFormatting sqref="B14">
    <cfRule type="duplicateValues" dxfId="379" priority="267"/>
    <cfRule type="duplicateValues" dxfId="378" priority="268"/>
    <cfRule type="duplicateValues" dxfId="377" priority="269"/>
    <cfRule type="duplicateValues" dxfId="376" priority="270"/>
    <cfRule type="duplicateValues" dxfId="375" priority="271"/>
  </conditionalFormatting>
  <conditionalFormatting sqref="B15">
    <cfRule type="duplicateValues" dxfId="374" priority="322"/>
    <cfRule type="duplicateValues" dxfId="373" priority="323"/>
    <cfRule type="duplicateValues" dxfId="372" priority="324"/>
    <cfRule type="duplicateValues" dxfId="371" priority="325"/>
    <cfRule type="duplicateValues" dxfId="370" priority="326"/>
  </conditionalFormatting>
  <conditionalFormatting sqref="B16">
    <cfRule type="duplicateValues" dxfId="369" priority="317"/>
    <cfRule type="duplicateValues" dxfId="368" priority="318"/>
    <cfRule type="duplicateValues" dxfId="367" priority="319"/>
    <cfRule type="duplicateValues" dxfId="366" priority="320"/>
    <cfRule type="duplicateValues" dxfId="365" priority="321"/>
  </conditionalFormatting>
  <conditionalFormatting sqref="B17">
    <cfRule type="duplicateValues" dxfId="364" priority="357"/>
    <cfRule type="duplicateValues" dxfId="363" priority="358"/>
    <cfRule type="duplicateValues" dxfId="362" priority="359"/>
    <cfRule type="duplicateValues" dxfId="361" priority="360"/>
    <cfRule type="duplicateValues" dxfId="360" priority="361"/>
  </conditionalFormatting>
  <conditionalFormatting sqref="B18">
    <cfRule type="duplicateValues" dxfId="359" priority="352"/>
    <cfRule type="duplicateValues" dxfId="358" priority="353"/>
    <cfRule type="duplicateValues" dxfId="357" priority="354"/>
    <cfRule type="duplicateValues" dxfId="356" priority="355"/>
    <cfRule type="duplicateValues" dxfId="355" priority="356"/>
  </conditionalFormatting>
  <conditionalFormatting sqref="B19">
    <cfRule type="duplicateValues" dxfId="354" priority="262"/>
    <cfRule type="duplicateValues" dxfId="353" priority="263"/>
    <cfRule type="duplicateValues" dxfId="352" priority="264"/>
    <cfRule type="duplicateValues" dxfId="351" priority="265"/>
    <cfRule type="duplicateValues" dxfId="350" priority="266"/>
  </conditionalFormatting>
  <conditionalFormatting sqref="B20">
    <cfRule type="duplicateValues" dxfId="349" priority="257"/>
    <cfRule type="duplicateValues" dxfId="348" priority="258"/>
    <cfRule type="duplicateValues" dxfId="347" priority="259"/>
    <cfRule type="duplicateValues" dxfId="346" priority="260"/>
    <cfRule type="duplicateValues" dxfId="345" priority="261"/>
  </conditionalFormatting>
  <conditionalFormatting sqref="B22">
    <cfRule type="duplicateValues" dxfId="344" priority="252"/>
    <cfRule type="duplicateValues" dxfId="343" priority="253"/>
    <cfRule type="duplicateValues" dxfId="342" priority="254"/>
    <cfRule type="duplicateValues" dxfId="341" priority="255"/>
    <cfRule type="duplicateValues" dxfId="340" priority="256"/>
  </conditionalFormatting>
  <conditionalFormatting sqref="B25">
    <cfRule type="duplicateValues" dxfId="339" priority="402"/>
    <cfRule type="duplicateValues" dxfId="338" priority="403"/>
    <cfRule type="duplicateValues" dxfId="337" priority="404"/>
    <cfRule type="duplicateValues" dxfId="336" priority="405"/>
    <cfRule type="duplicateValues" dxfId="335" priority="406"/>
  </conditionalFormatting>
  <conditionalFormatting sqref="B25:B50 B2:B23">
    <cfRule type="duplicateValues" dxfId="334" priority="185"/>
    <cfRule type="duplicateValues" dxfId="333" priority="191"/>
    <cfRule type="duplicateValues" dxfId="332" priority="412"/>
    <cfRule type="duplicateValues" dxfId="331" priority="413"/>
    <cfRule type="duplicateValues" dxfId="330" priority="414"/>
    <cfRule type="duplicateValues" dxfId="329" priority="415"/>
    <cfRule type="duplicateValues" dxfId="328" priority="416"/>
  </conditionalFormatting>
  <conditionalFormatting sqref="B26">
    <cfRule type="duplicateValues" dxfId="327" priority="247"/>
    <cfRule type="duplicateValues" dxfId="326" priority="248"/>
    <cfRule type="duplicateValues" dxfId="325" priority="249"/>
    <cfRule type="duplicateValues" dxfId="324" priority="250"/>
    <cfRule type="duplicateValues" dxfId="323" priority="251"/>
  </conditionalFormatting>
  <conditionalFormatting sqref="B27">
    <cfRule type="duplicateValues" dxfId="322" priority="242"/>
    <cfRule type="duplicateValues" dxfId="321" priority="243"/>
    <cfRule type="duplicateValues" dxfId="320" priority="244"/>
    <cfRule type="duplicateValues" dxfId="319" priority="245"/>
    <cfRule type="duplicateValues" dxfId="318" priority="246"/>
  </conditionalFormatting>
  <conditionalFormatting sqref="B28">
    <cfRule type="duplicateValues" dxfId="317" priority="237"/>
    <cfRule type="duplicateValues" dxfId="316" priority="238"/>
    <cfRule type="duplicateValues" dxfId="315" priority="239"/>
    <cfRule type="duplicateValues" dxfId="314" priority="240"/>
    <cfRule type="duplicateValues" dxfId="313" priority="241"/>
  </conditionalFormatting>
  <conditionalFormatting sqref="B29">
    <cfRule type="duplicateValues" dxfId="312" priority="232"/>
    <cfRule type="duplicateValues" dxfId="311" priority="233"/>
    <cfRule type="duplicateValues" dxfId="310" priority="234"/>
    <cfRule type="duplicateValues" dxfId="309" priority="235"/>
    <cfRule type="duplicateValues" dxfId="308" priority="236"/>
  </conditionalFormatting>
  <conditionalFormatting sqref="B30">
    <cfRule type="duplicateValues" dxfId="307" priority="362"/>
    <cfRule type="duplicateValues" dxfId="306" priority="363"/>
    <cfRule type="duplicateValues" dxfId="305" priority="364"/>
    <cfRule type="duplicateValues" dxfId="304" priority="365"/>
    <cfRule type="duplicateValues" dxfId="303" priority="366"/>
  </conditionalFormatting>
  <conditionalFormatting sqref="B31">
    <cfRule type="duplicateValues" dxfId="302" priority="372"/>
    <cfRule type="duplicateValues" dxfId="301" priority="373"/>
    <cfRule type="duplicateValues" dxfId="300" priority="374"/>
    <cfRule type="duplicateValues" dxfId="299" priority="375"/>
    <cfRule type="duplicateValues" dxfId="298" priority="376"/>
  </conditionalFormatting>
  <conditionalFormatting sqref="B32">
    <cfRule type="duplicateValues" dxfId="297" priority="337"/>
    <cfRule type="duplicateValues" dxfId="296" priority="338"/>
    <cfRule type="duplicateValues" dxfId="295" priority="339"/>
    <cfRule type="duplicateValues" dxfId="294" priority="340"/>
    <cfRule type="duplicateValues" dxfId="293" priority="341"/>
  </conditionalFormatting>
  <conditionalFormatting sqref="B33">
    <cfRule type="duplicateValues" dxfId="292" priority="227"/>
    <cfRule type="duplicateValues" dxfId="291" priority="228"/>
    <cfRule type="duplicateValues" dxfId="290" priority="229"/>
    <cfRule type="duplicateValues" dxfId="289" priority="230"/>
    <cfRule type="duplicateValues" dxfId="288" priority="231"/>
  </conditionalFormatting>
  <conditionalFormatting sqref="B34">
    <cfRule type="duplicateValues" dxfId="287" priority="222"/>
    <cfRule type="duplicateValues" dxfId="286" priority="223"/>
    <cfRule type="duplicateValues" dxfId="285" priority="224"/>
    <cfRule type="duplicateValues" dxfId="284" priority="225"/>
    <cfRule type="duplicateValues" dxfId="283" priority="226"/>
  </conditionalFormatting>
  <conditionalFormatting sqref="B35">
    <cfRule type="duplicateValues" dxfId="282" priority="217"/>
    <cfRule type="duplicateValues" dxfId="281" priority="218"/>
    <cfRule type="duplicateValues" dxfId="280" priority="219"/>
    <cfRule type="duplicateValues" dxfId="279" priority="220"/>
    <cfRule type="duplicateValues" dxfId="278" priority="221"/>
  </conditionalFormatting>
  <conditionalFormatting sqref="B36">
    <cfRule type="duplicateValues" dxfId="277" priority="332"/>
    <cfRule type="duplicateValues" dxfId="276" priority="333"/>
    <cfRule type="duplicateValues" dxfId="275" priority="334"/>
    <cfRule type="duplicateValues" dxfId="274" priority="335"/>
    <cfRule type="duplicateValues" dxfId="273" priority="336"/>
  </conditionalFormatting>
  <conditionalFormatting sqref="B37">
    <cfRule type="duplicateValues" dxfId="272" priority="327"/>
    <cfRule type="duplicateValues" dxfId="271" priority="328"/>
    <cfRule type="duplicateValues" dxfId="270" priority="329"/>
    <cfRule type="duplicateValues" dxfId="269" priority="330"/>
    <cfRule type="duplicateValues" dxfId="268" priority="331"/>
  </conditionalFormatting>
  <conditionalFormatting sqref="B38">
    <cfRule type="duplicateValues" dxfId="267" priority="212"/>
    <cfRule type="duplicateValues" dxfId="266" priority="213"/>
    <cfRule type="duplicateValues" dxfId="265" priority="214"/>
    <cfRule type="duplicateValues" dxfId="264" priority="215"/>
    <cfRule type="duplicateValues" dxfId="263" priority="216"/>
  </conditionalFormatting>
  <conditionalFormatting sqref="B39">
    <cfRule type="duplicateValues" dxfId="262" priority="392"/>
    <cfRule type="duplicateValues" dxfId="261" priority="393"/>
    <cfRule type="duplicateValues" dxfId="260" priority="394"/>
    <cfRule type="duplicateValues" dxfId="259" priority="395"/>
    <cfRule type="duplicateValues" dxfId="258" priority="396"/>
  </conditionalFormatting>
  <conditionalFormatting sqref="B40">
    <cfRule type="duplicateValues" dxfId="257" priority="312"/>
    <cfRule type="duplicateValues" dxfId="256" priority="313"/>
    <cfRule type="duplicateValues" dxfId="255" priority="314"/>
    <cfRule type="duplicateValues" dxfId="254" priority="315"/>
    <cfRule type="duplicateValues" dxfId="253" priority="316"/>
  </conditionalFormatting>
  <conditionalFormatting sqref="B41">
    <cfRule type="duplicateValues" dxfId="252" priority="342"/>
    <cfRule type="duplicateValues" dxfId="251" priority="343"/>
    <cfRule type="duplicateValues" dxfId="250" priority="344"/>
    <cfRule type="duplicateValues" dxfId="249" priority="345"/>
    <cfRule type="duplicateValues" dxfId="248" priority="346"/>
  </conditionalFormatting>
  <conditionalFormatting sqref="B42">
    <cfRule type="duplicateValues" dxfId="247" priority="377"/>
    <cfRule type="duplicateValues" dxfId="246" priority="378"/>
    <cfRule type="duplicateValues" dxfId="245" priority="379"/>
    <cfRule type="duplicateValues" dxfId="244" priority="380"/>
    <cfRule type="duplicateValues" dxfId="243" priority="381"/>
  </conditionalFormatting>
  <conditionalFormatting sqref="B43">
    <cfRule type="duplicateValues" dxfId="242" priority="367"/>
    <cfRule type="duplicateValues" dxfId="241" priority="368"/>
    <cfRule type="duplicateValues" dxfId="240" priority="369"/>
    <cfRule type="duplicateValues" dxfId="239" priority="370"/>
    <cfRule type="duplicateValues" dxfId="238" priority="371"/>
  </conditionalFormatting>
  <conditionalFormatting sqref="B44">
    <cfRule type="duplicateValues" dxfId="237" priority="382"/>
    <cfRule type="duplicateValues" dxfId="236" priority="383"/>
    <cfRule type="duplicateValues" dxfId="235" priority="384"/>
    <cfRule type="duplicateValues" dxfId="234" priority="385"/>
    <cfRule type="duplicateValues" dxfId="233" priority="386"/>
  </conditionalFormatting>
  <conditionalFormatting sqref="B45">
    <cfRule type="duplicateValues" dxfId="232" priority="347"/>
    <cfRule type="duplicateValues" dxfId="231" priority="348"/>
    <cfRule type="duplicateValues" dxfId="230" priority="349"/>
    <cfRule type="duplicateValues" dxfId="229" priority="350"/>
    <cfRule type="duplicateValues" dxfId="228" priority="351"/>
  </conditionalFormatting>
  <conditionalFormatting sqref="B46">
    <cfRule type="duplicateValues" dxfId="227" priority="307"/>
    <cfRule type="duplicateValues" dxfId="226" priority="308"/>
    <cfRule type="duplicateValues" dxfId="225" priority="309"/>
    <cfRule type="duplicateValues" dxfId="224" priority="310"/>
    <cfRule type="duplicateValues" dxfId="223" priority="311"/>
  </conditionalFormatting>
  <conditionalFormatting sqref="B47">
    <cfRule type="duplicateValues" dxfId="222" priority="202"/>
    <cfRule type="duplicateValues" dxfId="221" priority="203"/>
    <cfRule type="duplicateValues" dxfId="220" priority="204"/>
    <cfRule type="duplicateValues" dxfId="219" priority="205"/>
    <cfRule type="duplicateValues" dxfId="218" priority="206"/>
  </conditionalFormatting>
  <conditionalFormatting sqref="B48">
    <cfRule type="duplicateValues" dxfId="217" priority="207"/>
    <cfRule type="duplicateValues" dxfId="216" priority="208"/>
    <cfRule type="duplicateValues" dxfId="215" priority="209"/>
    <cfRule type="duplicateValues" dxfId="214" priority="210"/>
    <cfRule type="duplicateValues" dxfId="213" priority="211"/>
  </conditionalFormatting>
  <conditionalFormatting sqref="B49">
    <cfRule type="duplicateValues" dxfId="212" priority="197"/>
    <cfRule type="duplicateValues" dxfId="211" priority="198"/>
    <cfRule type="duplicateValues" dxfId="210" priority="199"/>
    <cfRule type="duplicateValues" dxfId="209" priority="200"/>
    <cfRule type="duplicateValues" dxfId="208" priority="201"/>
  </conditionalFormatting>
  <conditionalFormatting sqref="B50">
    <cfRule type="duplicateValues" dxfId="207" priority="192"/>
    <cfRule type="duplicateValues" dxfId="206" priority="193"/>
    <cfRule type="duplicateValues" dxfId="205" priority="194"/>
    <cfRule type="duplicateValues" dxfId="204" priority="195"/>
    <cfRule type="duplicateValues" dxfId="203" priority="196"/>
  </conditionalFormatting>
  <conditionalFormatting sqref="B51">
    <cfRule type="duplicateValues" dxfId="202" priority="130"/>
    <cfRule type="duplicateValues" dxfId="201" priority="131"/>
    <cfRule type="duplicateValues" dxfId="200" priority="132"/>
    <cfRule type="duplicateValues" dxfId="199" priority="133"/>
    <cfRule type="duplicateValues" dxfId="198" priority="134"/>
  </conditionalFormatting>
  <conditionalFormatting sqref="B51:B77">
    <cfRule type="duplicateValues" dxfId="197" priority="86"/>
    <cfRule type="duplicateValues" dxfId="196" priority="87"/>
    <cfRule type="duplicateValues" dxfId="195" priority="88"/>
    <cfRule type="duplicateValues" dxfId="194" priority="89"/>
    <cfRule type="duplicateValues" dxfId="193" priority="135"/>
    <cfRule type="duplicateValues" dxfId="192" priority="136"/>
    <cfRule type="duplicateValues" dxfId="191" priority="137"/>
    <cfRule type="duplicateValues" dxfId="190" priority="138"/>
    <cfRule type="duplicateValues" dxfId="189" priority="139"/>
  </conditionalFormatting>
  <conditionalFormatting sqref="B52">
    <cfRule type="duplicateValues" dxfId="188" priority="105"/>
    <cfRule type="duplicateValues" dxfId="187" priority="106"/>
    <cfRule type="duplicateValues" dxfId="186" priority="107"/>
    <cfRule type="duplicateValues" dxfId="185" priority="108"/>
    <cfRule type="duplicateValues" dxfId="184" priority="109"/>
  </conditionalFormatting>
  <conditionalFormatting sqref="B53">
    <cfRule type="duplicateValues" dxfId="183" priority="95"/>
    <cfRule type="duplicateValues" dxfId="182" priority="96"/>
    <cfRule type="duplicateValues" dxfId="181" priority="97"/>
    <cfRule type="duplicateValues" dxfId="180" priority="98"/>
    <cfRule type="duplicateValues" dxfId="179" priority="99"/>
  </conditionalFormatting>
  <conditionalFormatting sqref="B54">
    <cfRule type="duplicateValues" dxfId="178" priority="125"/>
    <cfRule type="duplicateValues" dxfId="177" priority="126"/>
    <cfRule type="duplicateValues" dxfId="176" priority="127"/>
    <cfRule type="duplicateValues" dxfId="175" priority="128"/>
    <cfRule type="duplicateValues" dxfId="174" priority="129"/>
  </conditionalFormatting>
  <conditionalFormatting sqref="B55">
    <cfRule type="duplicateValues" dxfId="173" priority="100"/>
    <cfRule type="duplicateValues" dxfId="172" priority="101"/>
    <cfRule type="duplicateValues" dxfId="171" priority="102"/>
    <cfRule type="duplicateValues" dxfId="170" priority="103"/>
    <cfRule type="duplicateValues" dxfId="169" priority="104"/>
  </conditionalFormatting>
  <conditionalFormatting sqref="B56">
    <cfRule type="duplicateValues" dxfId="168" priority="120"/>
    <cfRule type="duplicateValues" dxfId="167" priority="121"/>
    <cfRule type="duplicateValues" dxfId="166" priority="122"/>
    <cfRule type="duplicateValues" dxfId="165" priority="123"/>
    <cfRule type="duplicateValues" dxfId="164" priority="124"/>
  </conditionalFormatting>
  <conditionalFormatting sqref="B57">
    <cfRule type="duplicateValues" dxfId="163" priority="110"/>
    <cfRule type="duplicateValues" dxfId="162" priority="111"/>
    <cfRule type="duplicateValues" dxfId="161" priority="112"/>
    <cfRule type="duplicateValues" dxfId="160" priority="113"/>
    <cfRule type="duplicateValues" dxfId="159" priority="114"/>
  </conditionalFormatting>
  <conditionalFormatting sqref="B58">
    <cfRule type="duplicateValues" dxfId="158" priority="90"/>
    <cfRule type="duplicateValues" dxfId="157" priority="91"/>
    <cfRule type="duplicateValues" dxfId="156" priority="92"/>
    <cfRule type="duplicateValues" dxfId="155" priority="93"/>
    <cfRule type="duplicateValues" dxfId="154" priority="94"/>
  </conditionalFormatting>
  <conditionalFormatting sqref="B62">
    <cfRule type="duplicateValues" dxfId="153" priority="115"/>
    <cfRule type="duplicateValues" dxfId="152" priority="116"/>
    <cfRule type="duplicateValues" dxfId="151" priority="117"/>
    <cfRule type="duplicateValues" dxfId="150" priority="118"/>
    <cfRule type="duplicateValues" dxfId="149" priority="119"/>
  </conditionalFormatting>
  <conditionalFormatting sqref="B85:B102 B106:B129">
    <cfRule type="duplicateValues" dxfId="148" priority="417"/>
    <cfRule type="duplicateValues" dxfId="147" priority="418"/>
    <cfRule type="duplicateValues" dxfId="146" priority="419"/>
    <cfRule type="duplicateValues" dxfId="145" priority="420"/>
    <cfRule type="duplicateValues" dxfId="144" priority="421"/>
    <cfRule type="duplicateValues" dxfId="143" priority="422"/>
    <cfRule type="duplicateValues" dxfId="142" priority="423"/>
    <cfRule type="duplicateValues" dxfId="141" priority="424"/>
    <cfRule type="duplicateValues" dxfId="140" priority="425"/>
  </conditionalFormatting>
  <conditionalFormatting sqref="B103">
    <cfRule type="duplicateValues" dxfId="139" priority="42"/>
    <cfRule type="duplicateValues" dxfId="138" priority="43"/>
    <cfRule type="duplicateValues" dxfId="137" priority="44"/>
    <cfRule type="duplicateValues" dxfId="136" priority="45"/>
    <cfRule type="duplicateValues" dxfId="135" priority="46"/>
    <cfRule type="duplicateValues" dxfId="134" priority="47"/>
    <cfRule type="duplicateValues" dxfId="133" priority="48"/>
    <cfRule type="duplicateValues" dxfId="132" priority="49"/>
    <cfRule type="duplicateValues" dxfId="131" priority="50"/>
    <cfRule type="duplicateValues" dxfId="130" priority="51"/>
    <cfRule type="duplicateValues" dxfId="129" priority="52"/>
    <cfRule type="duplicateValues" dxfId="128" priority="53"/>
    <cfRule type="duplicateValues" dxfId="127" priority="54"/>
  </conditionalFormatting>
  <conditionalFormatting sqref="B105">
    <cfRule type="duplicateValues" dxfId="126" priority="2"/>
    <cfRule type="duplicateValues" dxfId="125" priority="3"/>
    <cfRule type="duplicateValues" dxfId="124" priority="4"/>
    <cfRule type="duplicateValues" dxfId="123" priority="5"/>
    <cfRule type="duplicateValues" dxfId="122" priority="6"/>
    <cfRule type="duplicateValues" dxfId="121" priority="7"/>
    <cfRule type="duplicateValues" dxfId="120" priority="8"/>
    <cfRule type="duplicateValues" dxfId="119" priority="9"/>
    <cfRule type="duplicateValues" dxfId="118" priority="10"/>
    <cfRule type="duplicateValues" dxfId="117" priority="11"/>
    <cfRule type="duplicateValues" dxfId="116" priority="12"/>
    <cfRule type="duplicateValues" dxfId="115" priority="13"/>
    <cfRule type="duplicateValues" dxfId="114" priority="14"/>
    <cfRule type="duplicateValues" dxfId="113" priority="15"/>
    <cfRule type="duplicateValues" dxfId="112" priority="16"/>
    <cfRule type="duplicateValues" dxfId="111" priority="17"/>
    <cfRule type="duplicateValues" dxfId="110" priority="18"/>
    <cfRule type="duplicateValues" dxfId="109" priority="19"/>
    <cfRule type="duplicateValues" dxfId="108" priority="20"/>
  </conditionalFormatting>
  <conditionalFormatting sqref="B144:B635 B2:B84">
    <cfRule type="duplicateValues" dxfId="107" priority="430"/>
  </conditionalFormatting>
  <conditionalFormatting sqref="B144:B635 B2:B102 B106:B129">
    <cfRule type="duplicateValues" dxfId="106" priority="426"/>
    <cfRule type="duplicateValues" dxfId="105" priority="427"/>
    <cfRule type="duplicateValues" dxfId="104" priority="428"/>
    <cfRule type="duplicateValues" dxfId="103" priority="429"/>
  </conditionalFormatting>
  <conditionalFormatting sqref="B145:B149">
    <cfRule type="duplicateValues" dxfId="102" priority="67"/>
    <cfRule type="duplicateValues" dxfId="101" priority="68"/>
    <cfRule type="duplicateValues" dxfId="100" priority="69"/>
    <cfRule type="duplicateValues" dxfId="99" priority="70"/>
    <cfRule type="duplicateValues" dxfId="98" priority="71"/>
    <cfRule type="duplicateValues" dxfId="97" priority="72"/>
    <cfRule type="duplicateValues" dxfId="96" priority="73"/>
    <cfRule type="duplicateValues" dxfId="95" priority="74"/>
    <cfRule type="duplicateValues" dxfId="94" priority="75"/>
  </conditionalFormatting>
  <conditionalFormatting sqref="C1">
    <cfRule type="duplicateValues" dxfId="93" priority="438"/>
  </conditionalFormatting>
  <conditionalFormatting sqref="C18">
    <cfRule type="duplicateValues" dxfId="92" priority="172"/>
    <cfRule type="duplicateValues" dxfId="91" priority="173"/>
    <cfRule type="duplicateValues" dxfId="90" priority="174"/>
    <cfRule type="duplicateValues" dxfId="89" priority="175"/>
    <cfRule type="duplicateValues" dxfId="88" priority="176"/>
  </conditionalFormatting>
  <conditionalFormatting sqref="C18:C23">
    <cfRule type="duplicateValues" dxfId="87" priority="153"/>
    <cfRule type="duplicateValues" dxfId="86" priority="154"/>
    <cfRule type="duplicateValues" dxfId="85" priority="155"/>
    <cfRule type="duplicateValues" dxfId="84" priority="156"/>
    <cfRule type="duplicateValues" dxfId="83" priority="177"/>
    <cfRule type="duplicateValues" dxfId="82" priority="178"/>
    <cfRule type="duplicateValues" dxfId="81" priority="179"/>
    <cfRule type="duplicateValues" dxfId="80" priority="180"/>
    <cfRule type="duplicateValues" dxfId="79" priority="181"/>
  </conditionalFormatting>
  <conditionalFormatting sqref="C19">
    <cfRule type="duplicateValues" dxfId="78" priority="167"/>
    <cfRule type="duplicateValues" dxfId="77" priority="168"/>
    <cfRule type="duplicateValues" dxfId="76" priority="169"/>
    <cfRule type="duplicateValues" dxfId="75" priority="170"/>
    <cfRule type="duplicateValues" dxfId="74" priority="171"/>
  </conditionalFormatting>
  <conditionalFormatting sqref="C20">
    <cfRule type="duplicateValues" dxfId="73" priority="162"/>
    <cfRule type="duplicateValues" dxfId="72" priority="163"/>
    <cfRule type="duplicateValues" dxfId="71" priority="164"/>
    <cfRule type="duplicateValues" dxfId="70" priority="165"/>
    <cfRule type="duplicateValues" dxfId="69" priority="166"/>
  </conditionalFormatting>
  <conditionalFormatting sqref="C22">
    <cfRule type="duplicateValues" dxfId="68" priority="157"/>
    <cfRule type="duplicateValues" dxfId="67" priority="158"/>
    <cfRule type="duplicateValues" dxfId="66" priority="159"/>
    <cfRule type="duplicateValues" dxfId="65" priority="160"/>
    <cfRule type="duplicateValues" dxfId="64" priority="161"/>
  </conditionalFormatting>
  <conditionalFormatting sqref="C24">
    <cfRule type="duplicateValues" dxfId="63" priority="149"/>
    <cfRule type="duplicateValues" dxfId="62" priority="150"/>
    <cfRule type="duplicateValues" dxfId="61" priority="151"/>
    <cfRule type="duplicateValues" dxfId="60" priority="152"/>
  </conditionalFormatting>
  <conditionalFormatting sqref="C25:C39">
    <cfRule type="duplicateValues" dxfId="59" priority="140"/>
    <cfRule type="duplicateValues" dxfId="58" priority="141"/>
    <cfRule type="duplicateValues" dxfId="57" priority="142"/>
    <cfRule type="duplicateValues" dxfId="56" priority="143"/>
    <cfRule type="duplicateValues" dxfId="55" priority="144"/>
    <cfRule type="duplicateValues" dxfId="54" priority="145"/>
    <cfRule type="duplicateValues" dxfId="53" priority="146"/>
    <cfRule type="duplicateValues" dxfId="52" priority="147"/>
    <cfRule type="duplicateValues" dxfId="51" priority="148"/>
  </conditionalFormatting>
  <conditionalFormatting sqref="C40:C102 C106:C129">
    <cfRule type="duplicateValues" dxfId="50" priority="76"/>
    <cfRule type="duplicateValues" dxfId="49" priority="77"/>
    <cfRule type="duplicateValues" dxfId="48" priority="78"/>
    <cfRule type="duplicateValues" dxfId="47" priority="79"/>
    <cfRule type="duplicateValues" dxfId="46" priority="80"/>
    <cfRule type="duplicateValues" dxfId="45" priority="81"/>
    <cfRule type="duplicateValues" dxfId="44" priority="82"/>
    <cfRule type="duplicateValues" dxfId="43" priority="83"/>
    <cfRule type="duplicateValues" dxfId="42" priority="84"/>
    <cfRule type="duplicateValues" dxfId="41" priority="85"/>
  </conditionalFormatting>
  <conditionalFormatting sqref="C103"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  <cfRule type="duplicateValues" dxfId="31" priority="41"/>
    <cfRule type="duplicateValues" dxfId="30" priority="55"/>
  </conditionalFormatting>
  <conditionalFormatting sqref="C105">
    <cfRule type="duplicateValues" dxfId="29" priority="21"/>
    <cfRule type="duplicateValues" dxfId="28" priority="22"/>
    <cfRule type="duplicateValues" dxfId="27" priority="23"/>
    <cfRule type="duplicateValues" dxfId="26" priority="24"/>
    <cfRule type="duplicateValues" dxfId="25" priority="25"/>
    <cfRule type="duplicateValues" dxfId="24" priority="26"/>
    <cfRule type="duplicateValues" dxfId="23" priority="27"/>
    <cfRule type="duplicateValues" dxfId="22" priority="28"/>
    <cfRule type="duplicateValues" dxfId="21" priority="29"/>
    <cfRule type="duplicateValues" dxfId="20" priority="30"/>
    <cfRule type="duplicateValues" dxfId="19" priority="31"/>
  </conditionalFormatting>
  <conditionalFormatting sqref="C130">
    <cfRule type="duplicateValues" dxfId="18" priority="56"/>
    <cfRule type="duplicateValues" dxfId="17" priority="57"/>
    <cfRule type="duplicateValues" dxfId="16" priority="58"/>
    <cfRule type="duplicateValues" dxfId="15" priority="59"/>
    <cfRule type="duplicateValues" dxfId="14" priority="60"/>
    <cfRule type="duplicateValues" dxfId="13" priority="61"/>
    <cfRule type="duplicateValues" dxfId="12" priority="62"/>
    <cfRule type="duplicateValues" dxfId="11" priority="63"/>
    <cfRule type="duplicateValues" dxfId="10" priority="64"/>
    <cfRule type="duplicateValues" dxfId="9" priority="65"/>
    <cfRule type="duplicateValues" dxfId="8" priority="66"/>
  </conditionalFormatting>
  <conditionalFormatting sqref="C144:C635 C2:C102 C106:C129">
    <cfRule type="duplicateValues" dxfId="7" priority="431"/>
  </conditionalFormatting>
  <conditionalFormatting sqref="C1:D1">
    <cfRule type="duplicateValues" dxfId="6" priority="434"/>
    <cfRule type="duplicateValues" dxfId="5" priority="435"/>
  </conditionalFormatting>
  <conditionalFormatting sqref="E1">
    <cfRule type="duplicateValues" dxfId="4" priority="432"/>
    <cfRule type="duplicateValues" dxfId="3" priority="433"/>
  </conditionalFormatting>
  <conditionalFormatting sqref="F1:Q1">
    <cfRule type="duplicateValues" dxfId="2" priority="441"/>
    <cfRule type="duplicateValues" dxfId="1" priority="442"/>
  </conditionalFormatting>
  <conditionalFormatting sqref="G1:G635">
    <cfRule type="duplicateValues" dxfId="0" priority="1"/>
  </conditionalFormatting>
  <dataValidations disablePrompts="1" count="1">
    <dataValidation type="list" allowBlank="1" showInputMessage="1" showErrorMessage="1" sqref="F125 F127:F130 F2:F123" xr:uid="{00000000-0002-0000-0000-000000000000}">
      <formula1>"Section 13,Section 14,Section 15,Section 16,Section 17,Section 19(1),Section 19(2),Section 19(3),Section 20(1),Section 20(2)"</formula1>
    </dataValidation>
  </dataValidations>
  <hyperlinks>
    <hyperlink ref="B132" r:id="rId1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0000000}"/>
    <hyperlink ref="B133" r:id="rId2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1000000}"/>
    <hyperlink ref="B134" r:id="rId3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2000000}"/>
    <hyperlink ref="B135" r:id="rId4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3000000}"/>
    <hyperlink ref="B136" r:id="rId5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4000000}"/>
    <hyperlink ref="B137" r:id="rId6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5000000}"/>
    <hyperlink ref="B138" r:id="rId7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6000000}"/>
    <hyperlink ref="B139" r:id="rId8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7000000}"/>
    <hyperlink ref="B140" r:id="rId9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8000000}"/>
    <hyperlink ref="B141" r:id="rId10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9000000}"/>
    <hyperlink ref="B142" r:id="rId11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A000000}"/>
    <hyperlink ref="B143" r:id="rId12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opLeftCell="A2" zoomScaleNormal="100" workbookViewId="0">
      <selection activeCell="B12" sqref="B12"/>
    </sheetView>
  </sheetViews>
  <sheetFormatPr baseColWidth="10" defaultColWidth="8.83203125" defaultRowHeight="15" x14ac:dyDescent="0.2"/>
  <cols>
    <col min="2" max="2" width="69.5" bestFit="1" customWidth="1"/>
    <col min="3" max="3" width="100.1640625" bestFit="1" customWidth="1"/>
  </cols>
  <sheetData>
    <row r="1" spans="1:3" ht="112" x14ac:dyDescent="0.2">
      <c r="A1" s="27" t="s">
        <v>1329</v>
      </c>
      <c r="B1" s="28" t="s">
        <v>1330</v>
      </c>
    </row>
    <row r="2" spans="1:3" ht="96" x14ac:dyDescent="0.2">
      <c r="A2" s="29" t="s">
        <v>1331</v>
      </c>
      <c r="B2" s="30" t="s">
        <v>1332</v>
      </c>
    </row>
    <row r="4" spans="1:3" x14ac:dyDescent="0.2">
      <c r="A4" t="s">
        <v>1333</v>
      </c>
      <c r="B4" t="s">
        <v>1334</v>
      </c>
      <c r="C4" t="s">
        <v>1335</v>
      </c>
    </row>
    <row r="5" spans="1:3" x14ac:dyDescent="0.2">
      <c r="A5" t="s">
        <v>1336</v>
      </c>
      <c r="B5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 2026-27</vt:lpstr>
      <vt:lpstr>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2025-11-15T15:40:14Z</dcterms:modified>
</cp:coreProperties>
</file>